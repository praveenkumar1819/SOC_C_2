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 &amp; Topology" state="visible" r:id="rId4"/>
    <sheet sheetId="2" name="Live Cloud VM Labs Master" state="visible" r:id="rId5"/>
    <sheet sheetId="3" name="Golden AMIs &amp; VM Fleet" state="visible" r:id="rId6"/>
    <sheet sheetId="4" name="Time Allocations &amp; Sessions" state="visible" r:id="rId7"/>
  </sheets>
  <calcPr calcId="171027"/>
</workbook>
</file>

<file path=xl/sharedStrings.xml><?xml version="1.0" encoding="utf-8"?>
<sst xmlns="http://schemas.openxmlformats.org/spreadsheetml/2006/main" count="891" uniqueCount="606">
  <si>
    <t>CDAC SOC ANALYST LEVEL 1 — CLOUD LIVE VM LABS &amp; SCENARIOS MASTER SPECIFICATION</t>
  </si>
  <si>
    <t>Comprehensive Multi-Cloud VM Architecture, Sizing, Golden AMIs, Automated Setup, Time Allocations &amp; Student Deliverables</t>
  </si>
  <si>
    <t>Total Hands-on Live Labs</t>
  </si>
  <si>
    <t>Zero-Simulation Live VMs</t>
  </si>
  <si>
    <t>Reusable Golden AMIs</t>
  </si>
  <si>
    <t>Total Student Lab Time</t>
  </si>
  <si>
    <t>Cloud Architecture</t>
  </si>
  <si>
    <t>Target Audience</t>
  </si>
  <si>
    <t>30 Labs &amp; Scenarios</t>
  </si>
  <si>
    <t>100% Real OS / Cloud VMs</t>
  </si>
  <si>
    <t>8 Master VM Templates</t>
  </si>
  <si>
    <t>18.5 Active Hours</t>
  </si>
  <si>
    <t>AWS &amp; Azure Multi-VPC</t>
  </si>
  <si>
    <t>CDAC SOC Analyst L1 Cohort</t>
  </si>
  <si>
    <t>1. CLOUD LAB INFRASTRUCTURE &amp; ORCHESTRATION TOPOLOGY</t>
  </si>
  <si>
    <t>Infrastructure Role</t>
  </si>
  <si>
    <t>Operating System / Appliance</t>
  </si>
  <si>
    <t>Installed Stack &amp; Telemetry Feeds</t>
  </si>
  <si>
    <t>Cloud VM Sizing (AWS Standard)</t>
  </si>
  <si>
    <t>VPC Subnet Placement</t>
  </si>
  <si>
    <t>Operational Purpose</t>
  </si>
  <si>
    <t>Student Access Gateway</t>
  </si>
  <si>
    <t>Apache Guacamole (Clientless HTML5 in Browser)</t>
  </si>
  <si>
    <t>HTTPS :443 (Zero VPN or local software install required on learner laptops)</t>
  </si>
  <si>
    <t>Single t3.medium per 50 concurrent students</t>
  </si>
  <si>
    <t>AWS Mumbai (ap-south-1)</t>
  </si>
  <si>
    <t>Low latency (&lt;25ms across India)</t>
  </si>
  <si>
    <t>Security / SIEM Node</t>
  </si>
  <si>
    <t>Splunk Enterprise 9.2 / Elastic SIEM / Wazuh 4.7</t>
  </si>
  <si>
    <t>Centralized Syslog, WinEventLog, Sysmon, Zeek JSON log collector &amp; UI</t>
  </si>
  <si>
    <t>t3.xlarge (4 vCPU, 16 GB RAM, 60 GB gp3 SSD)</t>
  </si>
  <si>
    <t>Dedicated Student VPC subnet</t>
  </si>
  <si>
    <t>Pre-indexed 250k synthetic event baseline</t>
  </si>
  <si>
    <t>Target Victim Node A</t>
  </si>
  <si>
    <t>Windows 11 Enterprise (23H2) &amp; Sysinternals Suite</t>
  </si>
  <si>
    <t>Sysmon v15 (SwiftOnSecurity config), PowerShell ScriptBlock log, Office 2021</t>
  </si>
  <si>
    <t>t3.large (2 vCPU, 8 GB RAM, 50 GB gp3 SSD)</t>
  </si>
  <si>
    <t>Target Subnet (10.0.2.0/24)</t>
  </si>
  <si>
    <t>Attacked via Spear-phishing / Macro / Ransomware</t>
  </si>
  <si>
    <t>Target Victim Node B</t>
  </si>
  <si>
    <t>Windows Server 2022 Active Directory Domain Controller</t>
  </si>
  <si>
    <t>Active Directory Domain Services, DNS, Kerberos, Event ID 4625/4769/4672</t>
  </si>
  <si>
    <t>AD Core Subnet (10.0.1.0/24)</t>
  </si>
  <si>
    <t>Targets: Kerberoasting, Pass-the-Hash, DCShadow</t>
  </si>
  <si>
    <t>Linux Workstation / Forensics</t>
  </si>
  <si>
    <t>Ubuntu 22.04 LTS (Forensics &amp; CLI Analysis)</t>
  </si>
  <si>
    <t>Wireshark, TShark, Zeek, Suricata, CyberChef, Volatility 3, Osquery, YARA</t>
  </si>
  <si>
    <t>t3.medium (2 vCPU, 4 GB RAM, 35 GB gp3 SSD)</t>
  </si>
  <si>
    <t>Analyst Workstation Subnet</t>
  </si>
  <si>
    <t>Student investigative desktop interface</t>
  </si>
  <si>
    <t>Adversary Emulation Engine</t>
  </si>
  <si>
    <t>Kali Linux 2024.1 / Atomic Red Team Runner</t>
  </si>
  <si>
    <t>Caldera C2, Atomic Red Team, Metasploit, Impacket, Responder, Hydra</t>
  </si>
  <si>
    <t>t3.medium (2 vCPU, 4 GB RAM, 30 GB gp3 SSD)</t>
  </si>
  <si>
    <t>Isolated Red Subnet (10.0.99.0/24)</t>
  </si>
  <si>
    <t>Automated cron-based attack injection scripts</t>
  </si>
  <si>
    <t>Industrial / SCADA Node</t>
  </si>
  <si>
    <t>Ubuntu 22.04 with ModbusPal &amp; Conpot SCADA HMI</t>
  </si>
  <si>
    <t>Simulated Purdue Model Level 1/2 Water Treatment / Electric Grid PLC</t>
  </si>
  <si>
    <t>t3.small (2 vCPU, 2 GB RAM, 20 GB gp3 SSD)</t>
  </si>
  <si>
    <t>OT Isolated DMZ (10.0.50.0/24)</t>
  </si>
  <si>
    <t>Industrial Protocol Anomaly &amp; Infiltration</t>
  </si>
  <si>
    <t>Automated Teardown &amp; Lifecycle</t>
  </si>
  <si>
    <t>AWS Lambda + CloudWatch Scheduled Inactivity Reaper</t>
  </si>
  <si>
    <t>Monitors CPU/Network utilization; auto-stops idle VMs after 45 mins idle</t>
  </si>
  <si>
    <t>Serverless (Zero idle cost)</t>
  </si>
  <si>
    <t>Global Orchestrator</t>
  </si>
  <si>
    <t>Prevents accidental AWS bill overruns</t>
  </si>
  <si>
    <t>2. CLOUD INFRASTRUCTURE COST MATRIX PER STUDENT COHORT (AWS AP-SOUTH-1 MUMBAI)</t>
  </si>
  <si>
    <t>Cohort Size</t>
  </si>
  <si>
    <t>Concurrent VMs / Pods</t>
  </si>
  <si>
    <t>Average Active Hours/Student</t>
  </si>
  <si>
    <t>Hourly Cloud Burn Rate</t>
  </si>
  <si>
    <t>Total Cost per Student</t>
  </si>
  <si>
    <t>Total Cohort Cloud Budget</t>
  </si>
  <si>
    <t>Pilot Batch (30 Students)</t>
  </si>
  <si>
    <t>30 Dedicated VM Pods</t>
  </si>
  <si>
    <t>20 Hours Hands-on Labs</t>
  </si>
  <si>
    <t>$0.18 / student / hr (Spot + Auto-stop)</t>
  </si>
  <si>
    <t>$3.60 per student (₹300)</t>
  </si>
  <si>
    <t>$108.00 Total Batch Budget</t>
  </si>
  <si>
    <t>Standard Cohort (60 Students)</t>
  </si>
  <si>
    <t>60 Dedicated VM Pods</t>
  </si>
  <si>
    <t>$0.16 / student / hr (Reserved + Auto-stop)</t>
  </si>
  <si>
    <t>$3.20 per student (₹265)</t>
  </si>
  <si>
    <t>$192.00 Total Batch Budget</t>
  </si>
  <si>
    <t>Scale Deployment (120 Students)</t>
  </si>
  <si>
    <t>120 Dedicated VM Pods</t>
  </si>
  <si>
    <t>$0.14 / student / hr (Savings Plans)</t>
  </si>
  <si>
    <t>$2.80 per student (₹230)</t>
  </si>
  <si>
    <t>$336.00 Total Batch Budget</t>
  </si>
  <si>
    <t>Enterprise Cyber Range (300 Learners)</t>
  </si>
  <si>
    <t>300 Dynamic Multi-VM Pods</t>
  </si>
  <si>
    <t>25 Hours (Labs + Exam)</t>
  </si>
  <si>
    <t>$0.13 / student / hr (Dedicated Host / Savings)</t>
  </si>
  <si>
    <t>$3.25 per student (₹270)</t>
  </si>
  <si>
    <t>$975.00 Total Cohort Budget</t>
  </si>
  <si>
    <t>CDAC SOC ANALYST LEVEL 1 — 100% LIVE CLOUD VM HANDS-ON LABS &amp; CAPSTONE SCENARIOS MATRIX</t>
  </si>
  <si>
    <t>All 30 Technical Exercises, Hardware Sizing, Pre-configurations, Attack Simulation Scripts, Learning Outcomes &amp; Time Instances for Zero-Simulation Cloud Labs</t>
  </si>
  <si>
    <t>Lab ID</t>
  </si>
  <si>
    <t>Module ID</t>
  </si>
  <si>
    <t>Unit / Chapter</t>
  </si>
  <si>
    <t>Lab / Scenario Title</t>
  </si>
  <si>
    <t>Domain / Category</t>
  </si>
  <si>
    <t>Target Scenario / Threat Simulated</t>
  </si>
  <si>
    <t>Primary Cloud VM Required</t>
  </si>
  <si>
    <t>Companion VM Nodes</t>
  </si>
  <si>
    <t>Cloud Instance Type</t>
  </si>
  <si>
    <t>Hardware Specs</t>
  </si>
  <si>
    <t>Pre-installed Tools &amp; Configurations</t>
  </si>
  <si>
    <t>Attack Simulation &amp; Injection Method</t>
  </si>
  <si>
    <t>Student Hands-on Tasks &amp; Learning Outcomes</t>
  </si>
  <si>
    <t>Deliverable &amp; Evidence Format</t>
  </si>
  <si>
    <t>Spin-up (Min)</t>
  </si>
  <si>
    <t>Student Time (Min)</t>
  </si>
  <si>
    <t>Auto-Teardown (Min)</t>
  </si>
  <si>
    <t>Est. VM Cost ($)</t>
  </si>
  <si>
    <t>VM-LAB-01.1</t>
  </si>
  <si>
    <t>Module 01</t>
  </si>
  <si>
    <t>Unit 1 / C2</t>
  </si>
  <si>
    <t>Live Windows Process Tree &amp; Malicious DLL Injection Forensics</t>
  </si>
  <si>
    <t>Endpoint OS Forensics</t>
  </si>
  <si>
    <t>Stealthy process injection inside svchost.exe spawning unauthorized child network listener</t>
  </si>
  <si>
    <t>Windows 11 Enterprise (23H2)</t>
  </si>
  <si>
    <t>Standalone Workstation</t>
  </si>
  <si>
    <t>AWS t3.large / Azure B2ms</t>
  </si>
  <si>
    <t>2 vCPU, 8 GB RAM, 50 GB SSD</t>
  </si>
  <si>
    <t>Process Explorer, Process Monitor (Procmon), Autoruns, TCPView, Handle, CyberChef</t>
  </si>
  <si>
    <t>Scheduled task running compiled C++ DLL injector that hollows legitimate svchost process</t>
  </si>
  <si>
    <t>Identify hollowed process via unbacked executable memory regions, find injected DLL handle, trace parent-child PID hierarchy, terminate thread, export memory string IOCs.</t>
  </si>
  <si>
    <t>Process Lineage Tree Diagram + Malicious DLL Hash (SHA-256) + Injection PID</t>
  </si>
  <si>
    <t>$0.08</t>
  </si>
  <si>
    <t>VM-LAB-01.2</t>
  </si>
  <si>
    <t>Unit 2 / C2</t>
  </si>
  <si>
    <t>Linux CLI Forensics, SUID Backdoor Hunting &amp; Cron Persistence</t>
  </si>
  <si>
    <t>Linux OS Forensics</t>
  </si>
  <si>
    <t>Compromised web server with SUID root backdoor in /tmp and hidden crontab persistence</t>
  </si>
  <si>
    <t>Ubuntu 22.04 LTS Server</t>
  </si>
  <si>
    <t>AWS t3.medium / Azure B2s</t>
  </si>
  <si>
    <t>2 vCPU, 4 GB RAM, 30 GB SSD</t>
  </si>
  <si>
    <t>auditd, ausearch, lsof, netstat, find, chattr, strings, sha256sum, crontab forensics</t>
  </si>
  <si>
    <t>Automated bash deployer placing hidden suid binary `/var/tmp/.syscheck` owned by root</t>
  </si>
  <si>
    <t>Execute permission audits (`find / -perm -4000`), analyze cron spool directories, inspect open sockets with lsof/ss, analyze hidden bash history, kill rogue daemon.</t>
  </si>
  <si>
    <t>Full Path of SUID Backdoor + Cron Job Command + Remediation Shell Commands</t>
  </si>
  <si>
    <t>$0.04</t>
  </si>
  <si>
    <t>VM-LAB-02.1</t>
  </si>
  <si>
    <t>Module 02</t>
  </si>
  <si>
    <t>Live Packet Sniffing, Handshake Dissection &amp; Credential Extraction</t>
  </si>
  <si>
    <t>Network Protocol Analysis</t>
  </si>
  <si>
    <t>Internal network eavesdropping capture containing unencrypted FTP, HTTP, and Telnet sessions</t>
  </si>
  <si>
    <t>Ubuntu 22.04 LTS Analyst Desktop</t>
  </si>
  <si>
    <t>Virtual Traffic Gen Node</t>
  </si>
  <si>
    <t>2 vCPU, 4 GB RAM, 35 GB SSD</t>
  </si>
  <si>
    <t>Wireshark 4.2 GUI, TShark CLI, tcpdump, ngrep, NetworkMiner, Mergecap</t>
  </si>
  <si>
    <t>Tcpreplay streaming live multi-protocol conversation across dummy interface veth0</t>
  </si>
  <si>
    <t>Dissect TCP 3-way handshake flags (SYN, SYN-ACK, ACK), follow TCP streams, extract plaintext passwords from Basic Auth/FTP, calculate TCP window size changes.</t>
  </si>
  <si>
    <t>Extracted Username/Password Credential Pair + Wireshark Display Filter Syntax</t>
  </si>
  <si>
    <t>$0.05</t>
  </si>
  <si>
    <t>VM-LAB-02.2</t>
  </si>
  <si>
    <t>Live DNS Tunneling, Fast-Flux Hunting &amp; Data Exfiltration Analysis</t>
  </si>
  <si>
    <t>Network Threat Hunting</t>
  </si>
  <si>
    <t>Attacker exfiltrating confidential credit card records encoded inside high-frequency DNS TXT queries</t>
  </si>
  <si>
    <t>Ubuntu 22.04 LTS Analyst Node</t>
  </si>
  <si>
    <t>Attacker C2 Emulation VM</t>
  </si>
  <si>
    <t>Wireshark, TShark, Zeek 5.x, Python Scapy, CyberChef Base64/Hex decoder</t>
  </si>
  <si>
    <t>Dnscat2 client sending Base32/Base64 chunked records to authoritative DNS server node</t>
  </si>
  <si>
    <t>Calculate subdomain Shannon entropy, extract query payload chunks using TShark, reconstruct exfiltrated text database in CyberChef, identify rogue DNS query volume.</t>
  </si>
  <si>
    <t>Reconstructed Stolen Confidential Document + C2 Domain + Query Count Stats</t>
  </si>
  <si>
    <t>$0.06</t>
  </si>
  <si>
    <t>VM-LAB-03.1</t>
  </si>
  <si>
    <t>Module 03</t>
  </si>
  <si>
    <t>Live Static &amp; Dynamic Malware Triage in Isolated Sandbox</t>
  </si>
  <si>
    <t>Malware Triage &amp; Analysis</t>
  </si>
  <si>
    <t>Phishing payload disguised as invoice PDF containing packed executable with persistence</t>
  </si>
  <si>
    <t>Windows 10 / FLARE VM</t>
  </si>
  <si>
    <t>Host-only Isolated Network</t>
  </si>
  <si>
    <t>2 vCPU, 8 GB RAM, 60 GB SSD</t>
  </si>
  <si>
    <t>PEStudio, CFF Explorer, Detect It Easy (DIE), FakeNet-NG, RegShot, Procmon, Strings</t>
  </si>
  <si>
    <t>Pre-loaded de-fanged real malware sample in password-protected zip (infected)</t>
  </si>
  <si>
    <t>Inspect PE headers, detect UPX packing, extract hardcoded C2 strings, run dynamic execution under FakeNet-NG, log registry run-key additions with RegShot.</t>
  </si>
  <si>
    <t>Malware Triage Sheet: MD5/SHA256 + Packing Verdict + C2 Domains + Registry Keys</t>
  </si>
  <si>
    <t>$0.10</t>
  </si>
  <si>
    <t>VM-LAB-03.2</t>
  </si>
  <si>
    <t>Live Ransomware Infiltration, Canary File Monitoring &amp; Volume Shadow Audit</t>
  </si>
  <si>
    <t>Endpoint Ransomware Defense</t>
  </si>
  <si>
    <t>Live ransomware simulator deleting shadow copies via vssadmin and encrypting user directory</t>
  </si>
  <si>
    <t>Windows 11 Enterprise (Sandboxed)</t>
  </si>
  <si>
    <t>Standalone Sandboxed Node</t>
  </si>
  <si>
    <t>Sysmon, Windows Event Viewer (Event ID 4688), PowerShell, Procmon, FTK Imager</t>
  </si>
  <si>
    <t>Safe ransomware simulator script executing `vssadmin delete shadows /all /quiet`</t>
  </si>
  <si>
    <t>Observe real-time canary file encryption, identify vssadmin command-line parameters in Sysmon Event 1, extract ransom note demand, trace process lineage, verify backup status.</t>
  </si>
  <si>
    <t>Ransomware Process Name + Execution Command Line + Canary Decryption Key Audit</t>
  </si>
  <si>
    <t>VM-LAB-04.1</t>
  </si>
  <si>
    <t>Module 04</t>
  </si>
  <si>
    <t>Unit 3 / C2</t>
  </si>
  <si>
    <t>Live Multi-Console Alert Triage (Spear-phishing &amp; Host Compromise)</t>
  </si>
  <si>
    <t>Tier 1 Tactical Operations</t>
  </si>
  <si>
    <t>Alert SEC-2026-0412: Michael Chen executes macro-enabled XLS from external spoofed vendor</t>
  </si>
  <si>
    <t>Splunk Enterprise 9.2 Server</t>
  </si>
  <si>
    <t>Windows 11 Victim Endpoint</t>
  </si>
  <si>
    <t>AWS t3.xlarge / Azure D4s_v5</t>
  </si>
  <si>
    <t>4 vCPU, 16 GB RAM, 60 GB SSD</t>
  </si>
  <si>
    <t>Splunk Web Interface, Windows Event Viewer, Sysmon, CyberChef, Palo Alto Log parser</t>
  </si>
  <si>
    <t>Real live Splunk instance with pre-indexed 250k events spanning perimeter to host</t>
  </si>
  <si>
    <t>Navigate 5 consoles, extract 5 critical fields (WHO, WHAT, WHERE, WHEN, HOW MANY), correlate perimeter firewall deny logs with internal beaconing, submit True Positive verdict.</t>
  </si>
  <si>
    <t>Completed SOC L1 Triage Ticket with Evidence Timestamps + Escalation Justification</t>
  </si>
  <si>
    <t>$0.15</t>
  </si>
  <si>
    <t>VM-LAB-04.2</t>
  </si>
  <si>
    <t>Unit 4 / C2</t>
  </si>
  <si>
    <t>High-Volume False Positive Discrimination &amp; Detection Rule Tuning</t>
  </si>
  <si>
    <t>Detection Optimization</t>
  </si>
  <si>
    <t>Queue of 4 concurrent alerts: AV temp files, 3 AM scheduled backup, encoded PowerShell, ETL task</t>
  </si>
  <si>
    <t>Sysmon Telemetry Collector</t>
  </si>
  <si>
    <t>Splunk Web Search &amp; Reporting, SPL Query Engine, Sigma rule validator</t>
  </si>
  <si>
    <t>Queue of mixed benign administrative noise and 1 stealthy true positive adversary</t>
  </si>
  <si>
    <t>Analyze parent process path, digital certificate validity, execution user context, command-line arguments to correctly classify 3 False Positives and 1 True Positive.</t>
  </si>
  <si>
    <t>False Positive Tuning Justification Sheet + Refined SPL Filter Exception Query</t>
  </si>
  <si>
    <t>$0.14</t>
  </si>
  <si>
    <t>VM-LAB-04.3</t>
  </si>
  <si>
    <t>Unit 5 / C2</t>
  </si>
  <si>
    <t>Live High-Stress Shift Severity Matrix &amp; SLA Capacity Allocation</t>
  </si>
  <si>
    <t>Incident Prioritization</t>
  </si>
  <si>
    <t>6 concurrent enterprise security alerts during severe analyst shortage (2 analysts, 8 work-hours)</t>
  </si>
  <si>
    <t>SOC Incident Management Platform</t>
  </si>
  <si>
    <t>Splunk Telemetry Endpoint</t>
  </si>
  <si>
    <t>AWS t3.medium / Azure B2ms</t>
  </si>
  <si>
    <t>Open-source TheHive 5 / RTIR Ticketing Portal, Splunk Dashboard, SLA Tracker</t>
  </si>
  <si>
    <t>Dynamic queue injection: Domain Admin alert, Ransomware, AV quarantine, Scanner, VIP email</t>
  </si>
  <si>
    <t>Calculate Asset Tier × Threat Status × Impact matrix for all 6 incidents, calculate SLA countdown windows, allocate analyst capacity to prevent lateral breach spread.</t>
  </si>
  <si>
    <t>Prioritized Incident Allocation Matrix + Justified SLA Triage Schedule Sheet</t>
  </si>
  <si>
    <t>VM-LAB-04.4</t>
  </si>
  <si>
    <t>Unit 6 / C2</t>
  </si>
  <si>
    <t>Live Crisis Escalation, Handoff Briefing &amp; Containment Routing</t>
  </si>
  <si>
    <t>Incident Escalation &amp; Handoff</t>
  </si>
  <si>
    <t>Multi-host crisis: Spear-phishing -&gt; C2 beacon -&gt; Domain Admin credential harvesting -&gt; DB staging</t>
  </si>
  <si>
    <t>TheHive 5 Incident Response Node</t>
  </si>
  <si>
    <t>Splunk Correlation Core</t>
  </si>
  <si>
    <t>TheHive 5, Mattermost ChatOps / Slack Bridge, Splunk Enterprise, MITRE ATT&amp;CK View</t>
  </si>
  <si>
    <t>Simulated multi-team ticket handoff queue requiring specialist routing actions</t>
  </si>
  <si>
    <t>Synthesize raw logs into concise technical briefing, route host quarantine to L2 IR, assign Kerberos hash hunting to L3, notify Identity Team for DA password reset.</t>
  </si>
  <si>
    <t>Formal L1 Incident Escalation Package + Executive Handoff Memo + Containment Log</t>
  </si>
  <si>
    <t>VM-LAB-05.1</t>
  </si>
  <si>
    <t>Module 05</t>
  </si>
  <si>
    <t>Live Splunk Universal Forwarder Setup &amp; Windows Ingestion Pipeline</t>
  </si>
  <si>
    <t>SIEM Architecture &amp; Data Flow</t>
  </si>
  <si>
    <t>Deploying Splunk Universal Forwarder to Windows 11 endpoint to stream Sysmon &amp; Security.evtx</t>
  </si>
  <si>
    <t>Windows 11 Endpoint Forwarder</t>
  </si>
  <si>
    <t>AWS t3.xlarge (SIEM) + t3.medium (Win)</t>
  </si>
  <si>
    <t>6 vCPU, 20 GB RAM total, 100 GB SSD</t>
  </si>
  <si>
    <t>Splunk CLI, inputs.conf, outputs.conf, Windows Event Log service, Splunk Web</t>
  </si>
  <si>
    <t>Real live Forwarder-to-Indexer TCP:9997 pipeline configuration exercise</t>
  </si>
  <si>
    <t>Configure inputs.conf for Wineventlog://Security and Wineventlog://Microsoft-Windows-Sysmon/Operational, set outputs.conf target, verify live event indexing in Splunk Web.</t>
  </si>
  <si>
    <t>Validated `index=wineventlog` Event Count Screenshot + Working inputs.conf File</t>
  </si>
  <si>
    <t>$0.18</t>
  </si>
  <si>
    <t>VM-LAB-05.2</t>
  </si>
  <si>
    <t>Writing Production SPL Correlation Searches &amp; Real-time Alert Scheduling</t>
  </si>
  <si>
    <t>SIEM Detection Engineering</t>
  </si>
  <si>
    <t>Authoring high-fidelity correlation search detecting brute force followed by successful logon</t>
  </si>
  <si>
    <t>Pre-indexed Telemetry Store</t>
  </si>
  <si>
    <t>Splunk Web Search &amp; Reporting, SPL Pipeline (`stats`, `transaction`, `eval`, `where`, `bin`)</t>
  </si>
  <si>
    <t>500,000 synthetic enterprise events loaded with multiple hidden attack patterns</t>
  </si>
  <si>
    <t>Write correlation query matching &gt;10 EventID 4625 followed by EventID 4624 within 3 minutes from same src_ip, configure automated email notification and severity trigger.</t>
  </si>
  <si>
    <t>Tested SPL Query Syntax + Saved Alert Configuration Screenshot + Search Results</t>
  </si>
  <si>
    <t>VM-LAB-05.3</t>
  </si>
  <si>
    <t>Live Elastic Security (ELK) Fleet Agent Deployment &amp; KQL Rule Authoring</t>
  </si>
  <si>
    <t>Elastic SIEM &amp; Fleet Management</t>
  </si>
  <si>
    <t>Deploying Elastic Agent via Fleet Server on Linux host and building KQL detection rules</t>
  </si>
  <si>
    <t>Ubuntu 22.04 with Elastic Stack 8.12</t>
  </si>
  <si>
    <t>Ubuntu 22.04 Monitored Endpoint</t>
  </si>
  <si>
    <t>4 vCPU, 16 GB RAM, 80 GB SSD</t>
  </si>
  <si>
    <t>Elasticsearch, Kibana Security, Elastic Agent, Fleet Server, KQL Search Editor</t>
  </si>
  <si>
    <t>Live Elastic Stack dockerized cluster with pre-configured enrollment tokens</t>
  </si>
  <si>
    <t>Enroll endpoint into Fleet policy, verify system log telemetry in Kibana Discover, write KQL rule detecting unauthorized sudo execution, verify alert in Security Alerts table.</t>
  </si>
  <si>
    <t>Enrolled Agent Health Dashboard + Working KQL Rule Definition JSON</t>
  </si>
  <si>
    <t>VM-LAB-06.1</t>
  </si>
  <si>
    <t>Module 06</t>
  </si>
  <si>
    <t>Windows Event ID 4625 Forensics: Logon Types (2 vs 3 vs 10) &amp; RDP Brute Force</t>
  </si>
  <si>
    <t>Windows Log Forensics</t>
  </si>
  <si>
    <t>Attacker conducting distributed RDP brute-force attack against Domain Controller administrator</t>
  </si>
  <si>
    <t>Windows Server 2022 DC</t>
  </si>
  <si>
    <t>Standalone Server Node</t>
  </si>
  <si>
    <t>Windows Event Viewer, LogParser 2.2, PowerShell `Get-WinEvent`, EVTXcmd by Eric Zimmerman</t>
  </si>
  <si>
    <t>Pre-loaded raw Security.evtx containing 45,000 logon records from live attack</t>
  </si>
  <si>
    <t>Filter by EventID 4625, distinguish Logon Type 2 (Interactive), Type 3 (Network), and Type 10 (Remote Desktop), extract attacker IP, calculate failure frequency and targeted accounts.</t>
  </si>
  <si>
    <t>LogParser SQL Query + Compromised Account Name + Attacker Source IP Address</t>
  </si>
  <si>
    <t>VM-LAB-06.2</t>
  </si>
  <si>
    <t>Linux /var/log/auth.log Forensics, Sudo Abuse &amp; Automated SSH Brute Force Triage</t>
  </si>
  <si>
    <t>Linux Log Analysis</t>
  </si>
  <si>
    <t>Massive automated dictionary attack against SSH port 22 resulting in successful root login</t>
  </si>
  <si>
    <t>grep, awk, sed, journalctl, Fail2Ban, auditd logs, Python log parser script</t>
  </si>
  <si>
    <t>Raw uncompressed auth.log containing 120,000 SSH connection attempts</t>
  </si>
  <si>
    <t>Parse "Failed password for" lines, extract top 10 targeted usernames, identify timestamp of "Accepted password", extract attacker IP address and public key fingerprint.</t>
  </si>
  <si>
    <t>Bash One-Liner Log Extraction Script + Compromised Account + First Login Timestamp</t>
  </si>
  <si>
    <t>VM-LAB-07.1</t>
  </si>
  <si>
    <t>Module 07</t>
  </si>
  <si>
    <t>Sysmon Event 1 Process Creation &amp; Base64 Encoded PowerShell Deobfuscation</t>
  </si>
  <si>
    <t>Endpoint Telemetry &amp; Deobfuscation</t>
  </si>
  <si>
    <t>Word document spawning powershell.exe with `-enc` Base64 payload downloading second-stage DLL</t>
  </si>
  <si>
    <t>Windows 11 Enterprise with Sysmon</t>
  </si>
  <si>
    <t>Sysmon v15, Event Viewer (Microsoft-Windows-Sysmon/Operational), CyberChef, PowerShell</t>
  </si>
  <si>
    <t>Script injecting realistic Sysmon Event 1 with Base64 encoded payload and parent lineage</t>
  </si>
  <si>
    <t>Locate Event ID 1 in Sysmon log, extract `CommandLine` argument, decode UTF-16LE Base64 in CyberChef, identify download cradle URL, user-agent string, and drop destination.</t>
  </si>
  <si>
    <t>Deobfuscated Script Code + Second-Stage C2 Download URL + Drop File SHA256</t>
  </si>
  <si>
    <t>VM-LAB-07.2</t>
  </si>
  <si>
    <t>Linux Auditd Ruleset Deployment &amp; Privilege Escalation Detection</t>
  </si>
  <si>
    <t>Linux Endpoint Auditing</t>
  </si>
  <si>
    <t>Rogue user executing CVE exploit to modify `/etc/sudoers` and overwrite `/etc/shadow`</t>
  </si>
  <si>
    <t>auditctl, aureport, ausearch, /etc/audit/rules.d/audit.rules, pam audit modules</t>
  </si>
  <si>
    <t>Pre-configured auditd daemon with Floris/Neo23x0 best-practice SOC ruleset</t>
  </si>
  <si>
    <t>Author custom audit rule watching `/etc/sudoers` with key `-k sudoers_change`, trigger privilege escalation attempt, query audit log with `ausearch -k sudoers_change`, extract UID/AUID.</t>
  </si>
  <si>
    <t>Custom audit.rules Snippet + Generated Audit Log Line + Attacker UID / AUID</t>
  </si>
  <si>
    <t>VM-LAB-08.1</t>
  </si>
  <si>
    <t>Module 08</t>
  </si>
  <si>
    <t>Live Zeek conn.log, http.log &amp; ssl.log Threat Hunting for C2 Beaconing</t>
  </si>
  <si>
    <t>Network Metadata Forensics</t>
  </si>
  <si>
    <t>Compromised workstation establishing persistent HTTPS C2 beaconing channel every 60s +/- 5s jitter</t>
  </si>
  <si>
    <t>Ubuntu 22.04 with Zeek 5.2</t>
  </si>
  <si>
    <t>Standalone Forensics Node</t>
  </si>
  <si>
    <t>Zeek, zeek-cut, RITA (Real Intelligence Threat Analysis), Python, Wireshark</t>
  </si>
  <si>
    <t>24-hour enterprise egress network traffic PCAP processed into structured Zeek logs</t>
  </si>
  <si>
    <t>Parse conn.log using `zeek-cut id.orig_h id.resp_h duration orig_bytes resp_bytes`, identify low-byte high-frequency connections, calculate beaconing score in RITA, extract TLS SNI.</t>
  </si>
  <si>
    <t>Zeek Command Output + Beacon Interval (Seconds) + Malicious External IP &amp; SNI</t>
  </si>
  <si>
    <t>VM-LAB-08.2</t>
  </si>
  <si>
    <t>Suricata IDS Signature Authoring &amp; Live Remote Exploit Detection</t>
  </si>
  <si>
    <t>Network Intrusion Detection</t>
  </si>
  <si>
    <t>Attacker attempting remote code execution using Log4Shell / Apache Struts exploit payload</t>
  </si>
  <si>
    <t>Ubuntu 22.04 with Suricata 7.0</t>
  </si>
  <si>
    <t>Attacker Kali Emulation Node</t>
  </si>
  <si>
    <t>AWS t3.medium (IDS) + t3.small (Kali)</t>
  </si>
  <si>
    <t>3 vCPU, 6 GB RAM total, 45 GB SSD</t>
  </si>
  <si>
    <t>Suricata, suricata-update, eve.json, evebox / jq, Scapy packet crafter</t>
  </si>
  <si>
    <t>Kali node sending crafted HTTP requests with `${jndi:ldap://...}` headers into Suricata</t>
  </si>
  <si>
    <t>Author custom Suricata signature with `content:"${jndi:"`, specify sid, rev, classtype, restart Suricata, trigger exploit traffic from Kali, inspect generated alert in `/var/log/suricata/eve.json`.</t>
  </si>
  <si>
    <t>Complete Suricata Rule Text + Verified eve.json Alert Entry Screenshot</t>
  </si>
  <si>
    <t>$0.07</t>
  </si>
  <si>
    <t>VM-LAB-09.1</t>
  </si>
  <si>
    <t>Module 09</t>
  </si>
  <si>
    <t>Live Wazuh EDR Agent Deployment, FIM &amp; Process Execution Lineage</t>
  </si>
  <si>
    <t>EDR &amp; Endpoint Hunting</t>
  </si>
  <si>
    <t>Adversary dropping web shell into IIS directory and running whoami via cmd.exe</t>
  </si>
  <si>
    <t>Ubuntu 22.04 with Wazuh Manager 4.7</t>
  </si>
  <si>
    <t>Windows 11 with Wazuh Agent</t>
  </si>
  <si>
    <t>AWS t3.xlarge (Mgr) + t3.medium (Agent)</t>
  </si>
  <si>
    <t>6 vCPU, 20 GB RAM total, 90 GB SSD</t>
  </si>
  <si>
    <t>Wazuh Web Dashboard, Wazuh Agent CLI, File Integrity Monitoring (FIM), Active Response</t>
  </si>
  <si>
    <t>PowerShell script generating file write into wwwroot folder followed by cmd execution</t>
  </si>
  <si>
    <t>Verify Wazuh agent active status, trigger FIM alert by modifying monitored directory, inspect process execution tree in Wazuh Security Events, trigger automated host network isolation.</t>
  </si>
  <si>
    <t>FIM Alert Details + Child Process Tree Screenshot + Host Quarantine Confirmation</t>
  </si>
  <si>
    <t>VM-LAB-09.2</t>
  </si>
  <si>
    <t>Endpoint Memory Forensics with Volatility 3: Injected DLLs &amp; Hidden Sockets</t>
  </si>
  <si>
    <t>Memory Forensics</t>
  </si>
  <si>
    <t>Volatile RAM image captured from compromised executive laptop infected with Cobalt Strike beacon</t>
  </si>
  <si>
    <t>Ubuntu 22.04 Forensics Workstation</t>
  </si>
  <si>
    <t>Volatility 3 CLI (`windows.pslist`, `windows.malfind`, `windows.netscan`, `windows.vadinfo`)</t>
  </si>
  <si>
    <t>4 GB raw memory dump (`memdump.raw`) pre-loaded on NVMe scratch disk</t>
  </si>
  <si>
    <t>Identify injected processes via `windows.malfind`, inspect VAD protections (PAGE_EXECUTE_READWRITE), extract shellcode memory hex dump, correlate active C2 connection in `windows.netscan`.</t>
  </si>
  <si>
    <t>Injected Process PID + Shellcode Byte Header + Malicious Remote IP &amp; Port</t>
  </si>
  <si>
    <t>$0.09</t>
  </si>
  <si>
    <t>VM-LAB-10.1</t>
  </si>
  <si>
    <t>Module 10</t>
  </si>
  <si>
    <t>Sigma Rule Authoring, Validation &amp; Automated Splunk/Elastic Translation</t>
  </si>
  <si>
    <t>Detection Engineering</t>
  </si>
  <si>
    <t>Authoring generic detection rule for LSASS memory dumping using Taskmgr / ProcDump</t>
  </si>
  <si>
    <t>Ubuntu 22.04 Dev Workstation</t>
  </si>
  <si>
    <t>Splunk Testing Node</t>
  </si>
  <si>
    <t>VS Code, pySigma CLI, sigmac, SigmaHQ repository, Splunk Enterprise</t>
  </si>
  <si>
    <t>Pre-loaded Sysmon Event 10 (ProcessAccess) and Event 1 (ProcessCreate) logs</t>
  </si>
  <si>
    <t>Author valid YAML Sigma rule specifying detection logic for `lsass.exe` open handles with `PROCESS_VM_READ`, convert to SPL with pySigma, test query on Splunk instance.</t>
  </si>
  <si>
    <t>Valid YAML Sigma Rule File + Converted SPL Query + Verification Match Log</t>
  </si>
  <si>
    <t>VM-LAB-10.2</t>
  </si>
  <si>
    <t>Atomic Red Team Emulation &amp; MITRE ATT&amp;CK Detection Gap Analysis</t>
  </si>
  <si>
    <t>Adversary Emulation &amp; Gap Analysis</t>
  </si>
  <si>
    <t>Executing atomic tests for T1059 (PowerShell), T1082 (System Info), and T1053 (Scheduled Tasks)</t>
  </si>
  <si>
    <t>Windows 11 with Sysmon</t>
  </si>
  <si>
    <t>Splunk Ingestion SIEM</t>
  </si>
  <si>
    <t>AWS t3.large (Win) + t3.medium (SIEM)</t>
  </si>
  <si>
    <t>4 vCPU, 12 GB RAM total, 70 GB SSD</t>
  </si>
  <si>
    <t>Invoke-AtomicRedTeam PowerShell module, Sysmon v15, Splunk Enterprise</t>
  </si>
  <si>
    <t>Automated execution of 3 standardized Atomic Red Team attack simulation techniques</t>
  </si>
  <si>
    <t>Run `Invoke-AtomicTest T1053.005`, monitor generated Sysmon Event 1 and Security Event 4698, verify whether current SIEM correlation rules detected the activity, document detection coverage gap.</t>
  </si>
  <si>
    <t>Atomic Execution Log + Detection Matrix Scorecard (Detected vs Missed) + Fix Suggestion</t>
  </si>
  <si>
    <t>$0.12</t>
  </si>
  <si>
    <t>VM-LAB-11.1</t>
  </si>
  <si>
    <t>Module 11</t>
  </si>
  <si>
    <t>Active Directory Kerberoasting Attack Detection &amp; Ticket Options Forensics</t>
  </si>
  <si>
    <t>Active Directory Identity Security</t>
  </si>
  <si>
    <t>Attacker querying Service Principal Names (SPNs) and requesting RC4 ticket for offline cracking</t>
  </si>
  <si>
    <t>Windows Server 2022 Active Directory DC</t>
  </si>
  <si>
    <t>Windows 11 Client Host</t>
  </si>
  <si>
    <t>AWS t3.large (DC) + t3.medium (Client)</t>
  </si>
  <si>
    <t>4 vCPU, 12 GB RAM total, 75 GB SSD</t>
  </si>
  <si>
    <t>Active Directory Users and Computers, Security Event Viewer, Rubeus, PowerShell AD module</t>
  </si>
  <si>
    <t>Client executing `Rubeus.exe kerberoast /nowrap` requesting TGS for MSSQL service account</t>
  </si>
  <si>
    <t>Inspect Event ID 4769 (Kerberos Service Ticket Requested), analyze Ticket Options (0x40810000), Ticket Encryption Type (0x17 = RC4-HMAC), identify compromised service account.</t>
  </si>
  <si>
    <t>Compromised Service Principal Name (SPN) + Requesting User + Encryption Type Code</t>
  </si>
  <si>
    <t>VM-LAB-11.2</t>
  </si>
  <si>
    <t>Advanced Phishing Email Header Forensics &amp; SPF/DKIM/DMARC Dissection</t>
  </si>
  <si>
    <t>Email Security &amp; Threat Intel</t>
  </si>
  <si>
    <t>High-severity executive impersonation email attempting CEO fraud / fraudulent wire transfer</t>
  </si>
  <si>
    <t>Ubuntu 22.04 Analyst Workstation</t>
  </si>
  <si>
    <t>MailHeader parser, dig, whois, CyberChef, Python email library, VirusTotal API</t>
  </si>
  <si>
    <t>Raw RFC 822 email files (`.eml` / `.msg`) containing complex multi-hop received headers</t>
  </si>
  <si>
    <t>Trace email hops via `Received:` headers from bottom to top, verify SPF record alignment (`v=spf1`), inspect DKIM cryptographic signature validity, detect envelope spoofing.</t>
  </si>
  <si>
    <t>Email Originating IP + SPF/DKIM Failure Justification + Phishing Triage Sheet</t>
  </si>
  <si>
    <t>VM-LAB-12.1</t>
  </si>
  <si>
    <t>Module 12</t>
  </si>
  <si>
    <t>Live Shuffle SOAR Automated Phishing Triage Playbook Orchestration</t>
  </si>
  <si>
    <t>SOAR &amp; Security Automation</t>
  </si>
  <si>
    <t>Automating the end-to-end extraction of URLs from reported emails and querying threat feeds</t>
  </si>
  <si>
    <t>Ubuntu 22.04 with Shuffle SOAR</t>
  </si>
  <si>
    <t>Mock Threat Intel API Service</t>
  </si>
  <si>
    <t>2 vCPU, 8 GB RAM, 45 GB SSD</t>
  </si>
  <si>
    <t>Shuffle SOAR Web GUI, Webhooks, URLScan API, VirusTotal API, TheHive Integration</t>
  </si>
  <si>
    <t>Simulated email webhook trigger firing JSON payloads into Shuffle workflow engine</t>
  </si>
  <si>
    <t>Build automated workflow in Shuffle: parse incoming email webhook -&gt; extract embedded URLs -&gt; query URLScan API -&gt; branch on malicious reputation -&gt; create alert in TheHive.</t>
  </si>
  <si>
    <t>Exported Shuffle Playbook JSON + Successful Execution Run History Screenshot</t>
  </si>
  <si>
    <t>VM-LAB-12.2</t>
  </si>
  <si>
    <t>Automated Host Quarantine &amp; Perimeter Firewall IP Blocking via API</t>
  </si>
  <si>
    <t>Automated Threat Containment</t>
  </si>
  <si>
    <t>High-confidence ransomware alert automatically isolating host on Wazuh and blocking C2 on pfSense</t>
  </si>
  <si>
    <t>pfSense Virtual Firewall + Wazuh</t>
  </si>
  <si>
    <t>AWS t3.large (SOAR) + t3.medium (FW)</t>
  </si>
  <si>
    <t>4 vCPU, 12 GB RAM total, 65 GB SSD</t>
  </si>
  <si>
    <t>Shuffle SOAR, pfSense REST API, Wazuh Active Response API, cURL</t>
  </si>
  <si>
    <t>Automated high-severity alert trigger payload containing infected Host IP and external C2</t>
  </si>
  <si>
    <t>Configure SOAR playbook node to make authenticated REST API call to pfSense adding external IP to firewall block alias, make API call to Wazuh agent triggering active isolation.</t>
  </si>
  <si>
    <t>API Response Log + pfSense Block Table Screenshot + Isolated Agent Verification</t>
  </si>
  <si>
    <t>VM-LAB-13.1</t>
  </si>
  <si>
    <t>Module 13</t>
  </si>
  <si>
    <t>Live MISP Threat Intelligence Ingestion, Tagging &amp; SIEM Lookup Integration</t>
  </si>
  <si>
    <t>Cyber Threat Intelligence (CTI)</t>
  </si>
  <si>
    <t>Ingesting fresh APT29 / Cozy Bear OSINT feed into MISP and correlating with internal proxy logs</t>
  </si>
  <si>
    <t>Ubuntu 22.04 with MISP 2.4 Server</t>
  </si>
  <si>
    <t>Splunk SIEM Correlation Core</t>
  </si>
  <si>
    <t>MISP Web Interface, PyMISP, Splunk MISP Lookup Add-on, STIX/TAXII feed parser</t>
  </si>
  <si>
    <t>Pre-populated MISP instance with 15 active threat events and automated feed sync</t>
  </si>
  <si>
    <t>Import external threat report into MISP, tag attributes with MISP Galaxy and ATT&amp;CK IDs, export IOC CSV, configure Splunk `lookup` table to cross-reference network connections.</t>
  </si>
  <si>
    <t>MISP Event ID Created + Matched Internal Proxy Log Hit Screenshot</t>
  </si>
  <si>
    <t>VM-LAB-14.1</t>
  </si>
  <si>
    <t>Module 14</t>
  </si>
  <si>
    <t>Live Triage Evidence Acquisition with KAPE &amp; Chain of Custody Documentation</t>
  </si>
  <si>
    <t>Digital Forensics Acquisition</t>
  </si>
  <si>
    <t>Forensic collection from employee workstation suspected of intellectual property theft</t>
  </si>
  <si>
    <t>Windows 11 Enterprise Victim</t>
  </si>
  <si>
    <t>Analyst Forensics Workstation</t>
  </si>
  <si>
    <t>KAPE (Kroll Artifact Parser and Extractor), FTK Imager CLI, PowerShell, CertUtil, 7-Zip</t>
  </si>
  <si>
    <t>Target host with simulated USB insertion events, Shellbags, and browser download artifacts</t>
  </si>
  <si>
    <t>Run KAPE triage targets (`!BasicCollection`), collect Lnk files, JumpLists, Prefetch, and Amcache, calculate SHA-256 integrity hash of VHD container, fill Chain of Custody form.</t>
  </si>
  <si>
    <t>KAPE Execution Log + Container SHA-256 Hash + Completed Chain of Custody PDF</t>
  </si>
  <si>
    <t>VM-LAB-14.2</t>
  </si>
  <si>
    <t>Comprehensive Incident Timeline Reconstruction &amp; NIST SP 800-61 Final Report</t>
  </si>
  <si>
    <t>Incident Documentation</t>
  </si>
  <si>
    <t>Assembling multi-source forensic evidence from firewall, DC, and host into master UTC timeline</t>
  </si>
  <si>
    <t>Ubuntu 22.04 Analyst Desktop</t>
  </si>
  <si>
    <t>mactime / Plaso (log2timeline), TheHive 5, LibreOffice Writer, TimelineJS format</t>
  </si>
  <si>
    <t>Correlated CSV datasets containing 2,000 normalized timestamps across 4 compromised systems</t>
  </si>
  <si>
    <t>Normalize timestamps to UTC, sequence root attack entry (phishing) to lateral spread and data exfiltration, calculate MTTD/MTTR metrics, draft formal executive incident report.</t>
  </si>
  <si>
    <t>Completed Master Incident Timeline CSV + Executive Root-Cause Summary Document</t>
  </si>
  <si>
    <t>VM-LAB-15.1</t>
  </si>
  <si>
    <t>Module 15</t>
  </si>
  <si>
    <t>Purdue Model Modbus Protocol Anomaly Detection &amp; SCADA HMI Infiltration</t>
  </si>
  <si>
    <t>OT &amp; Industrial Security</t>
  </si>
  <si>
    <t>Unauthorized external IP injecting Modbus Function Code 0x06 (Write Register) to water pump PLC</t>
  </si>
  <si>
    <t>Ubuntu 22.04 with ModbusPal Simulator</t>
  </si>
  <si>
    <t>Analyst Monitoring VM</t>
  </si>
  <si>
    <t>ModbusPal Java Simulator, Wireshark with Modbus dissector, Suricata ICS ruleset, Python</t>
  </si>
  <si>
    <t>Live simulated Modbus TCP:502 traffic streaming coil reads and unauthorized register writes</t>
  </si>
  <si>
    <t>Filter Wireshark by `mbtcp`, identify rogue client IP violating Purdue model boundaries, decode Function Code 0x06 register address and value, author Suricata ICS alert rule.</t>
  </si>
  <si>
    <t>Rogue Modbus Client IP + Overwritten Register Address + Suricata OT Rule Syntax</t>
  </si>
  <si>
    <t>VM-CAPSTONE-16.1</t>
  </si>
  <si>
    <t>Module 16</t>
  </si>
  <si>
    <t>Unit 1 / C1</t>
  </si>
  <si>
    <t>Full Enterprise Crisis Drill: Spear-Phishing to Domain Admin Compromise</t>
  </si>
  <si>
    <t>Enterprise Multi-Stage Capstone</t>
  </si>
  <si>
    <t>Phishing email targeting VP of Finance -&gt; DLL sideloading -&gt; LSASS dump -&gt; Domain Admin lateral movement</t>
  </si>
  <si>
    <t>FinCorp Cyber Range Pod (3 VMs)</t>
  </si>
  <si>
    <t>Kali Attacker + Win11 Victim + WinServer DC + Splunk</t>
  </si>
  <si>
    <t>AWS Cluster: 1x t3.xlarge + 2x t3.large</t>
  </si>
  <si>
    <t>8 vCPU, 32 GB RAM total, 150 GB SSD</t>
  </si>
  <si>
    <t>Splunk Enterprise 9.2, Sysmon v15, Wireshark, TheHive 5, FTK Imager, Active Directory</t>
  </si>
  <si>
    <t>Automated multi-stage adversary script simulating real-time breach across FinCorp network</t>
  </si>
  <si>
    <t>Full-spectrum Tier 1 triage: detect phishing click, isolate victim host, track LSASS access in Sysmon Event 10, spot Kerberoasting ticket request on DC, coordinate emergency DA credential revocation.</t>
  </si>
  <si>
    <t>Complete End-to-End Incident Dossier: Full Kill-Chain Diagram + IOC Table + Triage Ticket</t>
  </si>
  <si>
    <t>$0.35</t>
  </si>
  <si>
    <t>VM-CAPSTONE-16.2</t>
  </si>
  <si>
    <t>Unit 2 / C1</t>
  </si>
  <si>
    <t>Full Enterprise Crisis Drill: Active Ransomware Outbreak &amp; Emergency Isolation</t>
  </si>
  <si>
    <t>Ransomware executing on shared departmental file server encrypting finance records and disabling backups</t>
  </si>
  <si>
    <t>File Server 2022 + Win11 Host + Wazuh EDR + Splunk</t>
  </si>
  <si>
    <t>Wazuh EDR Console, Splunk Enterprise, Palo Alto Firewall Simulator, Windows Event Logs</t>
  </si>
  <si>
    <t>Live ransomware simulator executing rapid file encryption and network share propagation</t>
  </si>
  <si>
    <t>Under strict 20-minute SLA: detect mass file rename events, trace offending user session, isolate file server network adapter via EDR API, block C2 communication on perimeter firewall.</t>
  </si>
  <si>
    <t>Emergency Containment Log + Patient Zero Hostname + Threat Actor Group Identification</t>
  </si>
  <si>
    <t>VM-CAPSTONE-16.3</t>
  </si>
  <si>
    <t>Unit 3 / C1</t>
  </si>
  <si>
    <t>Full Enterprise Crisis Drill: Insider Threat &amp; Stealthy Data Exfiltration</t>
  </si>
  <si>
    <t>Disgruntled database engineer staging proprietary SQL customer dump and exfiltrating via encrypted DNS/HTTPS</t>
  </si>
  <si>
    <t>FinCorp Cyber Range Pod (2 VMs)</t>
  </si>
  <si>
    <t>Win11 Workstation + Zeek Network Sensor + Splunk</t>
  </si>
  <si>
    <t>AWS Cluster: 1x t3.xlarge + 1x t3.large</t>
  </si>
  <si>
    <t>6 vCPU, 24 GB RAM total, 110 GB SSD</t>
  </si>
  <si>
    <t>Splunk Enterprise, Zeek conn.log/dns.log, Windows Security Event Logs (Event 4663)</t>
  </si>
  <si>
    <t>Pre-scheduled user session copying confidential database exports and streaming off-network</t>
  </si>
  <si>
    <t>Correlate high-volume file read events (Event 4663) outside business hours with anomalous outbound egress volume in Zeek conn.log, identify destination cloud storage IP, compile evidence packet.</t>
  </si>
  <si>
    <t>Insider Threat Evidence Briefing + Exfiltrated Data Volume (MB) + Target IP Address</t>
  </si>
  <si>
    <t>$0.28</t>
  </si>
  <si>
    <t>VM-EXAM-17.1</t>
  </si>
  <si>
    <t>Module 17</t>
  </si>
  <si>
    <t>Final Exam</t>
  </si>
  <si>
    <t>CDAC SOC Analyst L1 Practical Certification Live Range Examination Drill</t>
  </si>
  <si>
    <t>Practical Certification Exam</t>
  </si>
  <si>
    <t>Unannounced blind multi-vector enterprise attack executed against exam candidate infrastructure</t>
  </si>
  <si>
    <t>Candidate Tactical Cyber Range Pod (4 VMs)</t>
  </si>
  <si>
    <t>Full Enterprise Range: Kali + Win11 + WinServer DC + Splunk SIEM</t>
  </si>
  <si>
    <t>AWS Cluster: 1x t3.xlarge + 2x t3.large + 1x t3.medium</t>
  </si>
  <si>
    <t>10 vCPU, 36 GB RAM total, 180 GB SSD</t>
  </si>
  <si>
    <t>Splunk Enterprise 9.2, Windows Event Viewer, Sysmon, Wireshark, CyberChef, TheHive 5</t>
  </si>
  <si>
    <t>Automated Red Team engine triggering 3 distinct attack phases over 3-hour exam window</t>
  </si>
  <si>
    <t>Independent candidate evaluation: complete Tier 1 triage under time pressure, identify True vs False alarms, calculate severity scores, extract all IOCs, formulate containment actions, submit final exam report.</t>
  </si>
  <si>
    <t>Official Certification Investigation Exam Report + Completed Incident Dossier (Pass: &gt;80%)</t>
  </si>
  <si>
    <t>$0.65</t>
  </si>
  <si>
    <t>TOTALS</t>
  </si>
  <si>
    <t>30 Hands-On Live VM Labs &amp; Scenarios</t>
  </si>
  <si>
    <t>CDAC SOC ANALYST LEVEL 1 — CLOUD GOLDEN VM TEMPLATES &amp; AMI FLEET SPECIFICATIONS</t>
  </si>
  <si>
    <t>Pre-Built Reusable Base Images for AWS EC2 and Azure Compute with Sysmon, Forwarders, Telemetry Daemons and Toolchains Pre-Configured</t>
  </si>
  <si>
    <t>Golden Image ID</t>
  </si>
  <si>
    <t>Template Name</t>
  </si>
  <si>
    <t>Base Operating System</t>
  </si>
  <si>
    <t>AWS Instance Type</t>
  </si>
  <si>
    <t>Azure Instance Type</t>
  </si>
  <si>
    <t>Compute Specs</t>
  </si>
  <si>
    <t>EBS Disk Size</t>
  </si>
  <si>
    <t>Pre-Installed Software, Tools &amp; Agents</t>
  </si>
  <si>
    <t>Inbound Security Group Rules</t>
  </si>
  <si>
    <t>Hardening &amp; Optimization Applied</t>
  </si>
  <si>
    <t>AMI-SOC-01</t>
  </si>
  <si>
    <t>SOC-Analyst-Ubuntu-Workstation</t>
  </si>
  <si>
    <t>Ubuntu 22.04 LTS (x86_64)</t>
  </si>
  <si>
    <t>t3.medium</t>
  </si>
  <si>
    <t>Standard_B2s</t>
  </si>
  <si>
    <t>2 vCPU, 4 GB RAM</t>
  </si>
  <si>
    <t>35 GB gp3 SSD</t>
  </si>
  <si>
    <t>Wireshark, TShark, Zeek 5.2, Suricata 7.0, Volatility 3, CyberChef, VS Code, Python3, Scapy, TheHive CLI</t>
  </si>
  <si>
    <t>TCP 22 (SSH), TCP 3389 (xRDP / Guacamole), TCP 8000 (CyberChef)</t>
  </si>
  <si>
    <t>UFW active, non-root student user with sudo, automated scratch cleanup on reboot</t>
  </si>
  <si>
    <t>AMI-SOC-02</t>
  </si>
  <si>
    <t>SOC-Victim-Win11-Sysmon</t>
  </si>
  <si>
    <t>Windows 11 Enterprise 23H2</t>
  </si>
  <si>
    <t>t3.large</t>
  </si>
  <si>
    <t>Standard_B2ms</t>
  </si>
  <si>
    <t>2 vCPU, 8 GB RAM</t>
  </si>
  <si>
    <t>50 GB gp3 SSD</t>
  </si>
  <si>
    <t>Sysmon v15 (SwiftOnSecurity config), Splunk Universal Forwarder, Sysinternals Suite, Procmon, Office 2021, KAPE, FTK Imager CLI</t>
  </si>
  <si>
    <t>TCP 3389 (RDP / Guacamole), TCP 9997 (Forwarder Egress)</t>
  </si>
  <si>
    <t>Windows Defender real-time protection togglable via desktop script, AuditPol all events enabled</t>
  </si>
  <si>
    <t>AMI-SOC-03</t>
  </si>
  <si>
    <t>SOC-AD-DomainController-2022</t>
  </si>
  <si>
    <t>Windows Server 2022 Datacenter</t>
  </si>
  <si>
    <t>Active Directory Domain Services, DNS Server, Group Policy Management, Event ID 4625/4769/4672 Advanced Auditing, Splunk Forwarder</t>
  </si>
  <si>
    <t>TCP 3389 (RDP), TCP 88 (Kerberos), TCP 389/636 (LDAP), TCP 445 (SMB), TCP 53 (DNS)</t>
  </si>
  <si>
    <t>Pre-populated with 50 synthetic domain users, 5 service accounts with SPNs, 5 organizational units</t>
  </si>
  <si>
    <t>AMI-SOC-04</t>
  </si>
  <si>
    <t>SOC-SIEM-Splunk-Enterprise</t>
  </si>
  <si>
    <t>t3.xlarge</t>
  </si>
  <si>
    <t>Standard_D4s_v5</t>
  </si>
  <si>
    <t>4 vCPU, 16 GB RAM</t>
  </si>
  <si>
    <t>60 GB gp3 SSD</t>
  </si>
  <si>
    <t>Splunk Enterprise 9.2.1, Splunk CIM App, Windows TA, Sysmon TA, Zeek TA, 250k pre-indexed events in index=wineventlog</t>
  </si>
  <si>
    <t>TCP 8000 (Splunk Web UI), TCP 9997 (Splunk Forwarder Ingestion), TCP 8089 (REST API)</t>
  </si>
  <si>
    <t>Splunk automated restart on boot, pre-configured admin:CDAC@Soc2026! credentials, fast index storage</t>
  </si>
  <si>
    <t>AMI-SOC-05</t>
  </si>
  <si>
    <t>SOC-SIEM-Elastic-Security</t>
  </si>
  <si>
    <t>80 GB gp3 SSD</t>
  </si>
  <si>
    <t>Elasticsearch 8.12, Kibana 8.12, Fleet Server, Elastic Agent, Pre-loaded MITRE ATT&amp;CK detection rules</t>
  </si>
  <si>
    <t>TCP 5601 (Kibana Web UI), TCP 9200 (Elasticsearch), TCP 8220 (Fleet Enrollment)</t>
  </si>
  <si>
    <t>Single-node optimized heap size (8GB), sample security detection rules pre-enabled</t>
  </si>
  <si>
    <t>AMI-SOC-06</t>
  </si>
  <si>
    <t>SOC-EDR-Wazuh-Manager</t>
  </si>
  <si>
    <t>70 GB gp3 SSD</t>
  </si>
  <si>
    <t>Wazuh Manager 4.7, Wazuh Indexer, Wazuh Dashboard, File Integrity Monitoring rules, Active Response scripts</t>
  </si>
  <si>
    <t>TCP 443 (Wazuh Dashboard), TCP 1514 (Agent communication), TCP 1515 (Agent enrollment)</t>
  </si>
  <si>
    <t>Automated agent registration enabled, pre-packaged Wazuh agents ready for Windows and Linux</t>
  </si>
  <si>
    <t>AMI-SOC-07</t>
  </si>
  <si>
    <t>SOC-SOAR-Shuffle-Cortex</t>
  </si>
  <si>
    <t>45 GB gp3 SSD</t>
  </si>
  <si>
    <t>Shuffle SOAR 1.3 (Dockerized), TheHive 5, Cortex Analyzers, OpenAPI connectors for pfSense, Splunk &amp; VirusTotal</t>
  </si>
  <si>
    <t>TCP 3001 (Shuffle Frontend), TCP 3443 (Shuffle Webhooks), TCP 9000 (TheHive 5)</t>
  </si>
  <si>
    <t>Pre-configured workflow apps for Slack/Mattermost, Virustotal, Splunk, and pfSense</t>
  </si>
  <si>
    <t>AMI-SOC-08</t>
  </si>
  <si>
    <t>SOC-Attacker-Kali-AtomicRed</t>
  </si>
  <si>
    <t>Kali Linux 2024.1 Rolling</t>
  </si>
  <si>
    <t>30 GB gp3 SSD</t>
  </si>
  <si>
    <t>Invoke-AtomicRedTeam, Caldera C2, Metasploit Framework, Impacket, Responder, Rubeus, Hydra, Nmap, Dnscat2</t>
  </si>
  <si>
    <t>TCP 22 (SSH), TCP 4444 (Reverse Shell Listener), TCP 8080 (Caldera Web GUI)</t>
  </si>
  <si>
    <t>Isolated within Red Subnet (10.0.99.0/24), egress filtered to prevent internet scanning</t>
  </si>
  <si>
    <t>CDAC SOC ANALYST LEVEL 1 — TIME INSTANCES, SESSION WINDOWS &amp; COST-SAVING TEARDOWN POLICIES</t>
  </si>
  <si>
    <t>Step-by-Step Breakdown of Provisioning, Student Briefing, Live Forensic Triage, Report Submission, and Automated Cloud Reaper Windows</t>
  </si>
  <si>
    <t>Module Ref</t>
  </si>
  <si>
    <t>Cloud Spin-up (Min)</t>
  </si>
  <si>
    <t>Briefing (Min)</t>
  </si>
  <si>
    <t>Active Triage (Min)</t>
  </si>
  <si>
    <t>Ticket Submission (Min)</t>
  </si>
  <si>
    <t>Total Session (Min)</t>
  </si>
  <si>
    <t>Inactivity Timeout (Min)</t>
  </si>
  <si>
    <t>Automated Reaper Action</t>
  </si>
  <si>
    <t>Snapshot delta &amp; terminate VM 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</si>
</sst>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94A3B8"/>
      <sz val="10"/>
      <name val="Calibri"/>
    </font>
    <font>
      <b/>
      <color rgb="64748B"/>
      <sz val="9"/>
      <name val="Calibri"/>
    </font>
    <font>
      <b/>
      <color rgb="2563EB"/>
      <sz val="11"/>
      <name val="Calibri"/>
    </font>
    <font>
      <b/>
      <color rgb="059669"/>
      <sz val="11"/>
      <name val="Calibri"/>
    </font>
    <font>
      <b/>
      <color rgb="7C3AED"/>
      <sz val="11"/>
      <name val="Calibri"/>
    </font>
    <font>
      <b/>
      <color rgb="D97706"/>
      <sz val="11"/>
      <name val="Calibri"/>
    </font>
    <font>
      <b/>
      <color rgb="0284C7"/>
      <sz val="11"/>
      <name val="Calibri"/>
    </font>
    <font>
      <b/>
      <color rgb="475569"/>
      <sz val="11"/>
      <name val="Calibri"/>
    </font>
    <font>
      <b/>
      <color rgb="FFFFFF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13"/>
      <name val="Calibri"/>
    </font>
    <font>
      <i/>
      <color rgb="94A3B8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1E40AF"/>
      </patternFill>
    </fill>
    <fill>
      <patternFill patternType="solid">
        <fgColor rgb="334155"/>
      </patternFill>
    </fill>
    <fill>
      <patternFill patternType="solid">
        <fgColor rgb="F8FAFC"/>
      </patternFill>
    </fill>
    <fill>
      <patternFill patternType="solid">
        <fgColor rgb="059669"/>
      </patternFill>
    </fill>
    <fill>
      <patternFill patternType="solid">
        <fgColor rgb="FEF3C7"/>
      </patternFill>
    </fill>
    <fill>
      <patternFill patternType="solid">
        <fgColor rgb="4338CA"/>
      </patternFill>
    </fill>
    <fill>
      <patternFill patternType="solid">
        <fgColor rgb="0D9488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vertical="center" inden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vertical="center" indent="1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5" customWidth="1"/>
    <col min="4" max="5" width="22" customWidth="1"/>
    <col min="6" max="6" width="25" customWidth="1"/>
    <col min="7" max="7" width="3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18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26" customHeight="1" spans="2:7" x14ac:dyDescent="0.25">
      <c r="B6" s="4" t="s">
        <v>8</v>
      </c>
      <c r="C6" s="5" t="s">
        <v>9</v>
      </c>
      <c r="D6" s="6" t="s">
        <v>10</v>
      </c>
      <c r="E6" s="7" t="s">
        <v>11</v>
      </c>
      <c r="F6" s="8" t="s">
        <v>12</v>
      </c>
      <c r="G6" s="9" t="s">
        <v>13</v>
      </c>
    </row>
    <row r="8" ht="24" customHeight="1" spans="2:7" x14ac:dyDescent="0.25">
      <c r="B8" s="10" t="s">
        <v>14</v>
      </c>
      <c r="C8" s="10"/>
      <c r="D8" s="10"/>
      <c r="E8" s="10"/>
      <c r="F8" s="10"/>
      <c r="G8" s="10"/>
    </row>
    <row r="9" ht="20" customHeight="1" spans="2:7" x14ac:dyDescent="0.25"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</row>
    <row r="10" ht="28" customHeight="1" spans="2:7" x14ac:dyDescent="0.25"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</row>
    <row r="11" ht="28" customHeight="1" spans="2:7" x14ac:dyDescent="0.25">
      <c r="B11" s="13" t="s">
        <v>27</v>
      </c>
      <c r="C11" s="13" t="s">
        <v>28</v>
      </c>
      <c r="D11" s="13" t="s">
        <v>29</v>
      </c>
      <c r="E11" s="13" t="s">
        <v>30</v>
      </c>
      <c r="F11" s="13" t="s">
        <v>31</v>
      </c>
      <c r="G11" s="13" t="s">
        <v>32</v>
      </c>
    </row>
    <row r="12" ht="28" customHeight="1" spans="2:7" x14ac:dyDescent="0.25">
      <c r="B12" s="12" t="s">
        <v>33</v>
      </c>
      <c r="C12" s="12" t="s">
        <v>34</v>
      </c>
      <c r="D12" s="12" t="s">
        <v>35</v>
      </c>
      <c r="E12" s="12" t="s">
        <v>36</v>
      </c>
      <c r="F12" s="12" t="s">
        <v>37</v>
      </c>
      <c r="G12" s="12" t="s">
        <v>38</v>
      </c>
    </row>
    <row r="13" ht="28" customHeight="1" spans="2:7" x14ac:dyDescent="0.25">
      <c r="B13" s="13" t="s">
        <v>39</v>
      </c>
      <c r="C13" s="13" t="s">
        <v>40</v>
      </c>
      <c r="D13" s="13" t="s">
        <v>41</v>
      </c>
      <c r="E13" s="13" t="s">
        <v>36</v>
      </c>
      <c r="F13" s="13" t="s">
        <v>42</v>
      </c>
      <c r="G13" s="13" t="s">
        <v>43</v>
      </c>
    </row>
    <row r="14" ht="28" customHeight="1" spans="2:7" x14ac:dyDescent="0.25">
      <c r="B14" s="12" t="s">
        <v>44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49</v>
      </c>
    </row>
    <row r="15" ht="28" customHeight="1" spans="2:7" x14ac:dyDescent="0.25">
      <c r="B15" s="13" t="s">
        <v>50</v>
      </c>
      <c r="C15" s="13" t="s">
        <v>51</v>
      </c>
      <c r="D15" s="13" t="s">
        <v>52</v>
      </c>
      <c r="E15" s="13" t="s">
        <v>53</v>
      </c>
      <c r="F15" s="13" t="s">
        <v>54</v>
      </c>
      <c r="G15" s="13" t="s">
        <v>55</v>
      </c>
    </row>
    <row r="16" ht="28" customHeight="1" spans="2:7" x14ac:dyDescent="0.25">
      <c r="B16" s="12" t="s">
        <v>56</v>
      </c>
      <c r="C16" s="12" t="s">
        <v>57</v>
      </c>
      <c r="D16" s="12" t="s">
        <v>58</v>
      </c>
      <c r="E16" s="12" t="s">
        <v>59</v>
      </c>
      <c r="F16" s="12" t="s">
        <v>60</v>
      </c>
      <c r="G16" s="12" t="s">
        <v>61</v>
      </c>
    </row>
    <row r="17" ht="28" customHeight="1" spans="2:7" x14ac:dyDescent="0.25">
      <c r="B17" s="13" t="s">
        <v>62</v>
      </c>
      <c r="C17" s="13" t="s">
        <v>63</v>
      </c>
      <c r="D17" s="13" t="s">
        <v>64</v>
      </c>
      <c r="E17" s="13" t="s">
        <v>65</v>
      </c>
      <c r="F17" s="13" t="s">
        <v>66</v>
      </c>
      <c r="G17" s="13" t="s">
        <v>67</v>
      </c>
    </row>
    <row r="20" ht="24" customHeight="1" spans="2:7" x14ac:dyDescent="0.25">
      <c r="B20" s="14" t="s">
        <v>68</v>
      </c>
      <c r="C20" s="14"/>
      <c r="D20" s="14"/>
      <c r="E20" s="14"/>
      <c r="F20" s="14"/>
      <c r="G20" s="14"/>
    </row>
    <row r="21" ht="20" customHeight="1" spans="2:7" x14ac:dyDescent="0.25">
      <c r="B21" s="11" t="s">
        <v>69</v>
      </c>
      <c r="C21" s="11" t="s">
        <v>70</v>
      </c>
      <c r="D21" s="11" t="s">
        <v>71</v>
      </c>
      <c r="E21" s="11" t="s">
        <v>72</v>
      </c>
      <c r="F21" s="11" t="s">
        <v>73</v>
      </c>
      <c r="G21" s="11" t="s">
        <v>74</v>
      </c>
    </row>
    <row r="22" ht="24" customHeight="1" spans="2:7" x14ac:dyDescent="0.25">
      <c r="B22" s="15" t="s">
        <v>75</v>
      </c>
      <c r="C22" s="16" t="s">
        <v>76</v>
      </c>
      <c r="D22" s="16" t="s">
        <v>77</v>
      </c>
      <c r="E22" s="17" t="s">
        <v>78</v>
      </c>
      <c r="F22" s="18" t="s">
        <v>79</v>
      </c>
      <c r="G22" s="18" t="s">
        <v>80</v>
      </c>
    </row>
    <row r="23" ht="24" customHeight="1" spans="2:7" x14ac:dyDescent="0.25">
      <c r="B23" s="19" t="s">
        <v>81</v>
      </c>
      <c r="C23" s="20" t="s">
        <v>82</v>
      </c>
      <c r="D23" s="20" t="s">
        <v>77</v>
      </c>
      <c r="E23" s="21" t="s">
        <v>83</v>
      </c>
      <c r="F23" s="22" t="s">
        <v>84</v>
      </c>
      <c r="G23" s="22" t="s">
        <v>85</v>
      </c>
    </row>
    <row r="24" ht="24" customHeight="1" spans="2:7" x14ac:dyDescent="0.25">
      <c r="B24" s="15" t="s">
        <v>86</v>
      </c>
      <c r="C24" s="16" t="s">
        <v>87</v>
      </c>
      <c r="D24" s="16" t="s">
        <v>77</v>
      </c>
      <c r="E24" s="17" t="s">
        <v>88</v>
      </c>
      <c r="F24" s="18" t="s">
        <v>89</v>
      </c>
      <c r="G24" s="18" t="s">
        <v>90</v>
      </c>
    </row>
    <row r="25" ht="24" customHeight="1" spans="2:7" x14ac:dyDescent="0.25">
      <c r="B25" s="19" t="s">
        <v>91</v>
      </c>
      <c r="C25" s="20" t="s">
        <v>92</v>
      </c>
      <c r="D25" s="20" t="s">
        <v>93</v>
      </c>
      <c r="E25" s="21" t="s">
        <v>94</v>
      </c>
      <c r="F25" s="22" t="s">
        <v>95</v>
      </c>
      <c r="G25" s="22" t="s">
        <v>96</v>
      </c>
    </row>
  </sheetData>
  <mergeCells count="4">
    <mergeCell ref="B2:G2"/>
    <mergeCell ref="B3:G3"/>
    <mergeCell ref="B8:G8"/>
    <mergeCell ref="B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4" customWidth="1"/>
    <col min="4" max="4" width="34" customWidth="1"/>
    <col min="5" max="5" width="22" customWidth="1"/>
    <col min="6" max="6" width="28" customWidth="1"/>
    <col min="7" max="7" width="26" customWidth="1"/>
    <col min="8" max="8" width="24" customWidth="1"/>
    <col min="9" max="9" width="20" customWidth="1"/>
    <col min="10" max="10" width="16" customWidth="1"/>
    <col min="11" max="11" width="34" customWidth="1"/>
    <col min="12" max="12" width="32" customWidth="1"/>
    <col min="13" max="13" width="38" customWidth="1"/>
    <col min="14" max="14" width="28" customWidth="1"/>
    <col min="15" max="15" width="15" customWidth="1"/>
    <col min="16" max="16" width="16" customWidth="1"/>
    <col min="17" max="17" width="18" customWidth="1"/>
    <col min="18" max="18" width="16" customWidth="1"/>
  </cols>
  <sheetData>
    <row r="1" ht="32" customHeight="1" spans="1:18" x14ac:dyDescent="0.25">
      <c r="A1" s="23" t="s">
        <v>97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ht="20" customHeight="1" spans="1:18" x14ac:dyDescent="0.25">
      <c r="A2" s="24" t="s">
        <v>98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ht="28" customHeight="1" spans="1:18" x14ac:dyDescent="0.25">
      <c r="A3" s="25" t="s">
        <v>99</v>
      </c>
      <c r="B3" s="25" t="s">
        <v>100</v>
      </c>
      <c r="C3" s="25" t="s">
        <v>101</v>
      </c>
      <c r="D3" s="25" t="s">
        <v>102</v>
      </c>
      <c r="E3" s="25" t="s">
        <v>103</v>
      </c>
      <c r="F3" s="25" t="s">
        <v>104</v>
      </c>
      <c r="G3" s="25" t="s">
        <v>105</v>
      </c>
      <c r="H3" s="25" t="s">
        <v>106</v>
      </c>
      <c r="I3" s="25" t="s">
        <v>107</v>
      </c>
      <c r="J3" s="25" t="s">
        <v>108</v>
      </c>
      <c r="K3" s="25" t="s">
        <v>109</v>
      </c>
      <c r="L3" s="25" t="s">
        <v>110</v>
      </c>
      <c r="M3" s="25" t="s">
        <v>111</v>
      </c>
      <c r="N3" s="25" t="s">
        <v>112</v>
      </c>
      <c r="O3" s="25" t="s">
        <v>113</v>
      </c>
      <c r="P3" s="25" t="s">
        <v>114</v>
      </c>
      <c r="Q3" s="25" t="s">
        <v>115</v>
      </c>
      <c r="R3" s="25" t="s">
        <v>116</v>
      </c>
    </row>
    <row r="4" ht="36" customHeight="1" spans="1:18" x14ac:dyDescent="0.25">
      <c r="A4" s="17" t="s">
        <v>117</v>
      </c>
      <c r="B4" s="17" t="s">
        <v>118</v>
      </c>
      <c r="C4" s="17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7">
        <v>3</v>
      </c>
      <c r="P4" s="17">
        <v>45</v>
      </c>
      <c r="Q4" s="17">
        <v>60</v>
      </c>
      <c r="R4" s="17" t="s">
        <v>131</v>
      </c>
    </row>
    <row r="5" ht="36" customHeight="1" spans="1:18" x14ac:dyDescent="0.25">
      <c r="A5" s="21" t="s">
        <v>132</v>
      </c>
      <c r="B5" s="21" t="s">
        <v>118</v>
      </c>
      <c r="C5" s="21" t="s">
        <v>133</v>
      </c>
      <c r="D5" s="13" t="s">
        <v>134</v>
      </c>
      <c r="E5" s="13" t="s">
        <v>135</v>
      </c>
      <c r="F5" s="13" t="s">
        <v>136</v>
      </c>
      <c r="G5" s="13" t="s">
        <v>137</v>
      </c>
      <c r="H5" s="13" t="s">
        <v>124</v>
      </c>
      <c r="I5" s="13" t="s">
        <v>138</v>
      </c>
      <c r="J5" s="13" t="s">
        <v>139</v>
      </c>
      <c r="K5" s="13" t="s">
        <v>140</v>
      </c>
      <c r="L5" s="13" t="s">
        <v>141</v>
      </c>
      <c r="M5" s="13" t="s">
        <v>142</v>
      </c>
      <c r="N5" s="13" t="s">
        <v>143</v>
      </c>
      <c r="O5" s="21">
        <v>2</v>
      </c>
      <c r="P5" s="21">
        <v>40</v>
      </c>
      <c r="Q5" s="21">
        <v>55</v>
      </c>
      <c r="R5" s="21" t="s">
        <v>144</v>
      </c>
    </row>
    <row r="6" ht="36" customHeight="1" spans="1:18" x14ac:dyDescent="0.25">
      <c r="A6" s="17" t="s">
        <v>145</v>
      </c>
      <c r="B6" s="17" t="s">
        <v>146</v>
      </c>
      <c r="C6" s="17" t="s">
        <v>119</v>
      </c>
      <c r="D6" s="12" t="s">
        <v>147</v>
      </c>
      <c r="E6" s="12" t="s">
        <v>148</v>
      </c>
      <c r="F6" s="12" t="s">
        <v>149</v>
      </c>
      <c r="G6" s="12" t="s">
        <v>150</v>
      </c>
      <c r="H6" s="12" t="s">
        <v>151</v>
      </c>
      <c r="I6" s="12" t="s">
        <v>138</v>
      </c>
      <c r="J6" s="12" t="s">
        <v>152</v>
      </c>
      <c r="K6" s="12" t="s">
        <v>153</v>
      </c>
      <c r="L6" s="12" t="s">
        <v>154</v>
      </c>
      <c r="M6" s="12" t="s">
        <v>155</v>
      </c>
      <c r="N6" s="12" t="s">
        <v>156</v>
      </c>
      <c r="O6" s="17">
        <v>2</v>
      </c>
      <c r="P6" s="17">
        <v>45</v>
      </c>
      <c r="Q6" s="17">
        <v>60</v>
      </c>
      <c r="R6" s="17" t="s">
        <v>157</v>
      </c>
    </row>
    <row r="7" ht="36" customHeight="1" spans="1:18" x14ac:dyDescent="0.25">
      <c r="A7" s="21" t="s">
        <v>158</v>
      </c>
      <c r="B7" s="21" t="s">
        <v>146</v>
      </c>
      <c r="C7" s="21" t="s">
        <v>133</v>
      </c>
      <c r="D7" s="13" t="s">
        <v>159</v>
      </c>
      <c r="E7" s="13" t="s">
        <v>160</v>
      </c>
      <c r="F7" s="13" t="s">
        <v>161</v>
      </c>
      <c r="G7" s="13" t="s">
        <v>162</v>
      </c>
      <c r="H7" s="13" t="s">
        <v>163</v>
      </c>
      <c r="I7" s="13" t="s">
        <v>138</v>
      </c>
      <c r="J7" s="13" t="s">
        <v>139</v>
      </c>
      <c r="K7" s="13" t="s">
        <v>164</v>
      </c>
      <c r="L7" s="13" t="s">
        <v>165</v>
      </c>
      <c r="M7" s="13" t="s">
        <v>166</v>
      </c>
      <c r="N7" s="13" t="s">
        <v>167</v>
      </c>
      <c r="O7" s="21">
        <v>3</v>
      </c>
      <c r="P7" s="21">
        <v>50</v>
      </c>
      <c r="Q7" s="21">
        <v>70</v>
      </c>
      <c r="R7" s="21" t="s">
        <v>168</v>
      </c>
    </row>
    <row r="8" ht="36" customHeight="1" spans="1:18" x14ac:dyDescent="0.25">
      <c r="A8" s="17" t="s">
        <v>169</v>
      </c>
      <c r="B8" s="17" t="s">
        <v>170</v>
      </c>
      <c r="C8" s="17" t="s">
        <v>119</v>
      </c>
      <c r="D8" s="12" t="s">
        <v>171</v>
      </c>
      <c r="E8" s="12" t="s">
        <v>172</v>
      </c>
      <c r="F8" s="12" t="s">
        <v>173</v>
      </c>
      <c r="G8" s="12" t="s">
        <v>174</v>
      </c>
      <c r="H8" s="12" t="s">
        <v>175</v>
      </c>
      <c r="I8" s="12" t="s">
        <v>125</v>
      </c>
      <c r="J8" s="12" t="s">
        <v>176</v>
      </c>
      <c r="K8" s="12" t="s">
        <v>177</v>
      </c>
      <c r="L8" s="12" t="s">
        <v>178</v>
      </c>
      <c r="M8" s="12" t="s">
        <v>179</v>
      </c>
      <c r="N8" s="12" t="s">
        <v>180</v>
      </c>
      <c r="O8" s="17">
        <v>4</v>
      </c>
      <c r="P8" s="17">
        <v>60</v>
      </c>
      <c r="Q8" s="17">
        <v>80</v>
      </c>
      <c r="R8" s="17" t="s">
        <v>181</v>
      </c>
    </row>
    <row r="9" ht="36" customHeight="1" spans="1:18" x14ac:dyDescent="0.25">
      <c r="A9" s="21" t="s">
        <v>182</v>
      </c>
      <c r="B9" s="21" t="s">
        <v>170</v>
      </c>
      <c r="C9" s="21" t="s">
        <v>133</v>
      </c>
      <c r="D9" s="13" t="s">
        <v>183</v>
      </c>
      <c r="E9" s="13" t="s">
        <v>184</v>
      </c>
      <c r="F9" s="13" t="s">
        <v>185</v>
      </c>
      <c r="G9" s="13" t="s">
        <v>186</v>
      </c>
      <c r="H9" s="13" t="s">
        <v>187</v>
      </c>
      <c r="I9" s="13" t="s">
        <v>125</v>
      </c>
      <c r="J9" s="13" t="s">
        <v>126</v>
      </c>
      <c r="K9" s="13" t="s">
        <v>188</v>
      </c>
      <c r="L9" s="13" t="s">
        <v>189</v>
      </c>
      <c r="M9" s="13" t="s">
        <v>190</v>
      </c>
      <c r="N9" s="13" t="s">
        <v>191</v>
      </c>
      <c r="O9" s="21">
        <v>3</v>
      </c>
      <c r="P9" s="21">
        <v>45</v>
      </c>
      <c r="Q9" s="21">
        <v>60</v>
      </c>
      <c r="R9" s="21" t="s">
        <v>131</v>
      </c>
    </row>
    <row r="10" ht="36" customHeight="1" spans="1:18" x14ac:dyDescent="0.25">
      <c r="A10" s="17" t="s">
        <v>192</v>
      </c>
      <c r="B10" s="17" t="s">
        <v>193</v>
      </c>
      <c r="C10" s="17" t="s">
        <v>194</v>
      </c>
      <c r="D10" s="12" t="s">
        <v>195</v>
      </c>
      <c r="E10" s="12" t="s">
        <v>196</v>
      </c>
      <c r="F10" s="12" t="s">
        <v>197</v>
      </c>
      <c r="G10" s="12" t="s">
        <v>198</v>
      </c>
      <c r="H10" s="12" t="s">
        <v>199</v>
      </c>
      <c r="I10" s="12" t="s">
        <v>200</v>
      </c>
      <c r="J10" s="12" t="s">
        <v>201</v>
      </c>
      <c r="K10" s="12" t="s">
        <v>202</v>
      </c>
      <c r="L10" s="12" t="s">
        <v>203</v>
      </c>
      <c r="M10" s="12" t="s">
        <v>204</v>
      </c>
      <c r="N10" s="12" t="s">
        <v>205</v>
      </c>
      <c r="O10" s="17">
        <v>4</v>
      </c>
      <c r="P10" s="17">
        <v>50</v>
      </c>
      <c r="Q10" s="17">
        <v>75</v>
      </c>
      <c r="R10" s="17" t="s">
        <v>206</v>
      </c>
    </row>
    <row r="11" ht="36" customHeight="1" spans="1:18" x14ac:dyDescent="0.25">
      <c r="A11" s="21" t="s">
        <v>207</v>
      </c>
      <c r="B11" s="21" t="s">
        <v>193</v>
      </c>
      <c r="C11" s="21" t="s">
        <v>208</v>
      </c>
      <c r="D11" s="13" t="s">
        <v>209</v>
      </c>
      <c r="E11" s="13" t="s">
        <v>210</v>
      </c>
      <c r="F11" s="13" t="s">
        <v>211</v>
      </c>
      <c r="G11" s="13" t="s">
        <v>198</v>
      </c>
      <c r="H11" s="13" t="s">
        <v>212</v>
      </c>
      <c r="I11" s="13" t="s">
        <v>200</v>
      </c>
      <c r="J11" s="13" t="s">
        <v>201</v>
      </c>
      <c r="K11" s="13" t="s">
        <v>213</v>
      </c>
      <c r="L11" s="13" t="s">
        <v>214</v>
      </c>
      <c r="M11" s="13" t="s">
        <v>215</v>
      </c>
      <c r="N11" s="13" t="s">
        <v>216</v>
      </c>
      <c r="O11" s="21">
        <v>3</v>
      </c>
      <c r="P11" s="21">
        <v>45</v>
      </c>
      <c r="Q11" s="21">
        <v>65</v>
      </c>
      <c r="R11" s="21" t="s">
        <v>217</v>
      </c>
    </row>
    <row r="12" ht="36" customHeight="1" spans="1:18" x14ac:dyDescent="0.25">
      <c r="A12" s="17" t="s">
        <v>218</v>
      </c>
      <c r="B12" s="17" t="s">
        <v>193</v>
      </c>
      <c r="C12" s="17" t="s">
        <v>219</v>
      </c>
      <c r="D12" s="12" t="s">
        <v>220</v>
      </c>
      <c r="E12" s="12" t="s">
        <v>221</v>
      </c>
      <c r="F12" s="12" t="s">
        <v>222</v>
      </c>
      <c r="G12" s="12" t="s">
        <v>223</v>
      </c>
      <c r="H12" s="12" t="s">
        <v>224</v>
      </c>
      <c r="I12" s="12" t="s">
        <v>225</v>
      </c>
      <c r="J12" s="12" t="s">
        <v>152</v>
      </c>
      <c r="K12" s="12" t="s">
        <v>226</v>
      </c>
      <c r="L12" s="12" t="s">
        <v>227</v>
      </c>
      <c r="M12" s="12" t="s">
        <v>228</v>
      </c>
      <c r="N12" s="12" t="s">
        <v>229</v>
      </c>
      <c r="O12" s="17">
        <v>3</v>
      </c>
      <c r="P12" s="17">
        <v>40</v>
      </c>
      <c r="Q12" s="17">
        <v>60</v>
      </c>
      <c r="R12" s="17" t="s">
        <v>168</v>
      </c>
    </row>
    <row r="13" ht="36" customHeight="1" spans="1:18" x14ac:dyDescent="0.25">
      <c r="A13" s="21" t="s">
        <v>230</v>
      </c>
      <c r="B13" s="21" t="s">
        <v>193</v>
      </c>
      <c r="C13" s="21" t="s">
        <v>231</v>
      </c>
      <c r="D13" s="13" t="s">
        <v>232</v>
      </c>
      <c r="E13" s="13" t="s">
        <v>233</v>
      </c>
      <c r="F13" s="13" t="s">
        <v>234</v>
      </c>
      <c r="G13" s="13" t="s">
        <v>235</v>
      </c>
      <c r="H13" s="13" t="s">
        <v>236</v>
      </c>
      <c r="I13" s="13" t="s">
        <v>225</v>
      </c>
      <c r="J13" s="13" t="s">
        <v>152</v>
      </c>
      <c r="K13" s="13" t="s">
        <v>237</v>
      </c>
      <c r="L13" s="13" t="s">
        <v>238</v>
      </c>
      <c r="M13" s="13" t="s">
        <v>239</v>
      </c>
      <c r="N13" s="13" t="s">
        <v>240</v>
      </c>
      <c r="O13" s="21">
        <v>3</v>
      </c>
      <c r="P13" s="21">
        <v>45</v>
      </c>
      <c r="Q13" s="21">
        <v>65</v>
      </c>
      <c r="R13" s="21" t="s">
        <v>168</v>
      </c>
    </row>
    <row r="14" ht="36" customHeight="1" spans="1:18" x14ac:dyDescent="0.25">
      <c r="A14" s="17" t="s">
        <v>241</v>
      </c>
      <c r="B14" s="17" t="s">
        <v>242</v>
      </c>
      <c r="C14" s="17" t="s">
        <v>119</v>
      </c>
      <c r="D14" s="12" t="s">
        <v>243</v>
      </c>
      <c r="E14" s="12" t="s">
        <v>244</v>
      </c>
      <c r="F14" s="12" t="s">
        <v>245</v>
      </c>
      <c r="G14" s="12" t="s">
        <v>198</v>
      </c>
      <c r="H14" s="12" t="s">
        <v>246</v>
      </c>
      <c r="I14" s="12" t="s">
        <v>247</v>
      </c>
      <c r="J14" s="12" t="s">
        <v>248</v>
      </c>
      <c r="K14" s="12" t="s">
        <v>249</v>
      </c>
      <c r="L14" s="12" t="s">
        <v>250</v>
      </c>
      <c r="M14" s="12" t="s">
        <v>251</v>
      </c>
      <c r="N14" s="12" t="s">
        <v>252</v>
      </c>
      <c r="O14" s="17">
        <v>5</v>
      </c>
      <c r="P14" s="17">
        <v>60</v>
      </c>
      <c r="Q14" s="17">
        <v>80</v>
      </c>
      <c r="R14" s="17" t="s">
        <v>253</v>
      </c>
    </row>
    <row r="15" ht="36" customHeight="1" spans="1:18" x14ac:dyDescent="0.25">
      <c r="A15" s="21" t="s">
        <v>254</v>
      </c>
      <c r="B15" s="21" t="s">
        <v>242</v>
      </c>
      <c r="C15" s="21" t="s">
        <v>133</v>
      </c>
      <c r="D15" s="13" t="s">
        <v>255</v>
      </c>
      <c r="E15" s="13" t="s">
        <v>256</v>
      </c>
      <c r="F15" s="13" t="s">
        <v>257</v>
      </c>
      <c r="G15" s="13" t="s">
        <v>198</v>
      </c>
      <c r="H15" s="13" t="s">
        <v>258</v>
      </c>
      <c r="I15" s="13" t="s">
        <v>200</v>
      </c>
      <c r="J15" s="13" t="s">
        <v>201</v>
      </c>
      <c r="K15" s="13" t="s">
        <v>259</v>
      </c>
      <c r="L15" s="13" t="s">
        <v>260</v>
      </c>
      <c r="M15" s="13" t="s">
        <v>261</v>
      </c>
      <c r="N15" s="13" t="s">
        <v>262</v>
      </c>
      <c r="O15" s="21">
        <v>3</v>
      </c>
      <c r="P15" s="21">
        <v>50</v>
      </c>
      <c r="Q15" s="21">
        <v>70</v>
      </c>
      <c r="R15" s="21" t="s">
        <v>217</v>
      </c>
    </row>
    <row r="16" ht="36" customHeight="1" spans="1:18" x14ac:dyDescent="0.25">
      <c r="A16" s="17" t="s">
        <v>263</v>
      </c>
      <c r="B16" s="17" t="s">
        <v>242</v>
      </c>
      <c r="C16" s="17" t="s">
        <v>194</v>
      </c>
      <c r="D16" s="12" t="s">
        <v>264</v>
      </c>
      <c r="E16" s="12" t="s">
        <v>265</v>
      </c>
      <c r="F16" s="12" t="s">
        <v>266</v>
      </c>
      <c r="G16" s="12" t="s">
        <v>267</v>
      </c>
      <c r="H16" s="12" t="s">
        <v>268</v>
      </c>
      <c r="I16" s="12" t="s">
        <v>200</v>
      </c>
      <c r="J16" s="12" t="s">
        <v>269</v>
      </c>
      <c r="K16" s="12" t="s">
        <v>270</v>
      </c>
      <c r="L16" s="12" t="s">
        <v>271</v>
      </c>
      <c r="M16" s="12" t="s">
        <v>272</v>
      </c>
      <c r="N16" s="12" t="s">
        <v>273</v>
      </c>
      <c r="O16" s="17">
        <v>5</v>
      </c>
      <c r="P16" s="17">
        <v>55</v>
      </c>
      <c r="Q16" s="17">
        <v>80</v>
      </c>
      <c r="R16" s="17" t="s">
        <v>253</v>
      </c>
    </row>
    <row r="17" ht="36" customHeight="1" spans="1:18" x14ac:dyDescent="0.25">
      <c r="A17" s="21" t="s">
        <v>274</v>
      </c>
      <c r="B17" s="21" t="s">
        <v>275</v>
      </c>
      <c r="C17" s="21" t="s">
        <v>119</v>
      </c>
      <c r="D17" s="13" t="s">
        <v>276</v>
      </c>
      <c r="E17" s="13" t="s">
        <v>277</v>
      </c>
      <c r="F17" s="13" t="s">
        <v>278</v>
      </c>
      <c r="G17" s="13" t="s">
        <v>279</v>
      </c>
      <c r="H17" s="13" t="s">
        <v>280</v>
      </c>
      <c r="I17" s="13" t="s">
        <v>125</v>
      </c>
      <c r="J17" s="13" t="s">
        <v>126</v>
      </c>
      <c r="K17" s="13" t="s">
        <v>281</v>
      </c>
      <c r="L17" s="13" t="s">
        <v>282</v>
      </c>
      <c r="M17" s="13" t="s">
        <v>283</v>
      </c>
      <c r="N17" s="13" t="s">
        <v>284</v>
      </c>
      <c r="O17" s="21">
        <v>3</v>
      </c>
      <c r="P17" s="21">
        <v>45</v>
      </c>
      <c r="Q17" s="21">
        <v>65</v>
      </c>
      <c r="R17" s="21" t="s">
        <v>131</v>
      </c>
    </row>
    <row r="18" ht="36" customHeight="1" spans="1:18" x14ac:dyDescent="0.25">
      <c r="A18" s="17" t="s">
        <v>285</v>
      </c>
      <c r="B18" s="17" t="s">
        <v>275</v>
      </c>
      <c r="C18" s="17" t="s">
        <v>133</v>
      </c>
      <c r="D18" s="12" t="s">
        <v>286</v>
      </c>
      <c r="E18" s="12" t="s">
        <v>287</v>
      </c>
      <c r="F18" s="12" t="s">
        <v>288</v>
      </c>
      <c r="G18" s="12" t="s">
        <v>137</v>
      </c>
      <c r="H18" s="12" t="s">
        <v>280</v>
      </c>
      <c r="I18" s="12" t="s">
        <v>138</v>
      </c>
      <c r="J18" s="12" t="s">
        <v>139</v>
      </c>
      <c r="K18" s="12" t="s">
        <v>289</v>
      </c>
      <c r="L18" s="12" t="s">
        <v>290</v>
      </c>
      <c r="M18" s="12" t="s">
        <v>291</v>
      </c>
      <c r="N18" s="12" t="s">
        <v>292</v>
      </c>
      <c r="O18" s="17">
        <v>2</v>
      </c>
      <c r="P18" s="17">
        <v>40</v>
      </c>
      <c r="Q18" s="17">
        <v>55</v>
      </c>
      <c r="R18" s="17" t="s">
        <v>144</v>
      </c>
    </row>
    <row r="19" ht="36" customHeight="1" spans="1:18" x14ac:dyDescent="0.25">
      <c r="A19" s="21" t="s">
        <v>293</v>
      </c>
      <c r="B19" s="21" t="s">
        <v>294</v>
      </c>
      <c r="C19" s="21" t="s">
        <v>119</v>
      </c>
      <c r="D19" s="13" t="s">
        <v>295</v>
      </c>
      <c r="E19" s="13" t="s">
        <v>296</v>
      </c>
      <c r="F19" s="13" t="s">
        <v>297</v>
      </c>
      <c r="G19" s="13" t="s">
        <v>298</v>
      </c>
      <c r="H19" s="13" t="s">
        <v>124</v>
      </c>
      <c r="I19" s="13" t="s">
        <v>125</v>
      </c>
      <c r="J19" s="13" t="s">
        <v>126</v>
      </c>
      <c r="K19" s="13" t="s">
        <v>299</v>
      </c>
      <c r="L19" s="13" t="s">
        <v>300</v>
      </c>
      <c r="M19" s="13" t="s">
        <v>301</v>
      </c>
      <c r="N19" s="13" t="s">
        <v>302</v>
      </c>
      <c r="O19" s="21">
        <v>3</v>
      </c>
      <c r="P19" s="21">
        <v>45</v>
      </c>
      <c r="Q19" s="21">
        <v>65</v>
      </c>
      <c r="R19" s="21" t="s">
        <v>131</v>
      </c>
    </row>
    <row r="20" ht="36" customHeight="1" spans="1:18" x14ac:dyDescent="0.25">
      <c r="A20" s="17" t="s">
        <v>303</v>
      </c>
      <c r="B20" s="17" t="s">
        <v>294</v>
      </c>
      <c r="C20" s="17" t="s">
        <v>133</v>
      </c>
      <c r="D20" s="12" t="s">
        <v>304</v>
      </c>
      <c r="E20" s="12" t="s">
        <v>305</v>
      </c>
      <c r="F20" s="12" t="s">
        <v>306</v>
      </c>
      <c r="G20" s="12" t="s">
        <v>137</v>
      </c>
      <c r="H20" s="12" t="s">
        <v>280</v>
      </c>
      <c r="I20" s="12" t="s">
        <v>138</v>
      </c>
      <c r="J20" s="12" t="s">
        <v>139</v>
      </c>
      <c r="K20" s="12" t="s">
        <v>307</v>
      </c>
      <c r="L20" s="12" t="s">
        <v>308</v>
      </c>
      <c r="M20" s="12" t="s">
        <v>309</v>
      </c>
      <c r="N20" s="12" t="s">
        <v>310</v>
      </c>
      <c r="O20" s="17">
        <v>2</v>
      </c>
      <c r="P20" s="17">
        <v>40</v>
      </c>
      <c r="Q20" s="17">
        <v>55</v>
      </c>
      <c r="R20" s="17" t="s">
        <v>144</v>
      </c>
    </row>
    <row r="21" ht="36" customHeight="1" spans="1:18" x14ac:dyDescent="0.25">
      <c r="A21" s="21" t="s">
        <v>311</v>
      </c>
      <c r="B21" s="21" t="s">
        <v>312</v>
      </c>
      <c r="C21" s="21" t="s">
        <v>119</v>
      </c>
      <c r="D21" s="13" t="s">
        <v>313</v>
      </c>
      <c r="E21" s="13" t="s">
        <v>314</v>
      </c>
      <c r="F21" s="13" t="s">
        <v>315</v>
      </c>
      <c r="G21" s="13" t="s">
        <v>316</v>
      </c>
      <c r="H21" s="13" t="s">
        <v>317</v>
      </c>
      <c r="I21" s="13" t="s">
        <v>138</v>
      </c>
      <c r="J21" s="13" t="s">
        <v>152</v>
      </c>
      <c r="K21" s="13" t="s">
        <v>318</v>
      </c>
      <c r="L21" s="13" t="s">
        <v>319</v>
      </c>
      <c r="M21" s="13" t="s">
        <v>320</v>
      </c>
      <c r="N21" s="13" t="s">
        <v>321</v>
      </c>
      <c r="O21" s="21">
        <v>2</v>
      </c>
      <c r="P21" s="21">
        <v>50</v>
      </c>
      <c r="Q21" s="21">
        <v>70</v>
      </c>
      <c r="R21" s="21" t="s">
        <v>157</v>
      </c>
    </row>
    <row r="22" ht="36" customHeight="1" spans="1:18" x14ac:dyDescent="0.25">
      <c r="A22" s="17" t="s">
        <v>322</v>
      </c>
      <c r="B22" s="17" t="s">
        <v>312</v>
      </c>
      <c r="C22" s="17" t="s">
        <v>133</v>
      </c>
      <c r="D22" s="12" t="s">
        <v>323</v>
      </c>
      <c r="E22" s="12" t="s">
        <v>324</v>
      </c>
      <c r="F22" s="12" t="s">
        <v>325</v>
      </c>
      <c r="G22" s="12" t="s">
        <v>326</v>
      </c>
      <c r="H22" s="12" t="s">
        <v>327</v>
      </c>
      <c r="I22" s="12" t="s">
        <v>328</v>
      </c>
      <c r="J22" s="12" t="s">
        <v>329</v>
      </c>
      <c r="K22" s="12" t="s">
        <v>330</v>
      </c>
      <c r="L22" s="12" t="s">
        <v>331</v>
      </c>
      <c r="M22" s="12" t="s">
        <v>332</v>
      </c>
      <c r="N22" s="12" t="s">
        <v>333</v>
      </c>
      <c r="O22" s="17">
        <v>3</v>
      </c>
      <c r="P22" s="17">
        <v>50</v>
      </c>
      <c r="Q22" s="17">
        <v>70</v>
      </c>
      <c r="R22" s="17" t="s">
        <v>334</v>
      </c>
    </row>
    <row r="23" ht="36" customHeight="1" spans="1:18" x14ac:dyDescent="0.25">
      <c r="A23" s="21" t="s">
        <v>335</v>
      </c>
      <c r="B23" s="21" t="s">
        <v>336</v>
      </c>
      <c r="C23" s="21" t="s">
        <v>119</v>
      </c>
      <c r="D23" s="13" t="s">
        <v>337</v>
      </c>
      <c r="E23" s="13" t="s">
        <v>338</v>
      </c>
      <c r="F23" s="13" t="s">
        <v>339</v>
      </c>
      <c r="G23" s="13" t="s">
        <v>340</v>
      </c>
      <c r="H23" s="13" t="s">
        <v>341</v>
      </c>
      <c r="I23" s="13" t="s">
        <v>342</v>
      </c>
      <c r="J23" s="13" t="s">
        <v>343</v>
      </c>
      <c r="K23" s="13" t="s">
        <v>344</v>
      </c>
      <c r="L23" s="13" t="s">
        <v>345</v>
      </c>
      <c r="M23" s="13" t="s">
        <v>346</v>
      </c>
      <c r="N23" s="13" t="s">
        <v>347</v>
      </c>
      <c r="O23" s="21">
        <v>5</v>
      </c>
      <c r="P23" s="21">
        <v>55</v>
      </c>
      <c r="Q23" s="21">
        <v>80</v>
      </c>
      <c r="R23" s="21" t="s">
        <v>253</v>
      </c>
    </row>
    <row r="24" ht="36" customHeight="1" spans="1:18" x14ac:dyDescent="0.25">
      <c r="A24" s="17" t="s">
        <v>348</v>
      </c>
      <c r="B24" s="17" t="s">
        <v>336</v>
      </c>
      <c r="C24" s="17" t="s">
        <v>133</v>
      </c>
      <c r="D24" s="12" t="s">
        <v>349</v>
      </c>
      <c r="E24" s="12" t="s">
        <v>350</v>
      </c>
      <c r="F24" s="12" t="s">
        <v>351</v>
      </c>
      <c r="G24" s="12" t="s">
        <v>352</v>
      </c>
      <c r="H24" s="12" t="s">
        <v>317</v>
      </c>
      <c r="I24" s="12" t="s">
        <v>125</v>
      </c>
      <c r="J24" s="12" t="s">
        <v>126</v>
      </c>
      <c r="K24" s="12" t="s">
        <v>353</v>
      </c>
      <c r="L24" s="12" t="s">
        <v>354</v>
      </c>
      <c r="M24" s="12" t="s">
        <v>355</v>
      </c>
      <c r="N24" s="12" t="s">
        <v>356</v>
      </c>
      <c r="O24" s="17">
        <v>2</v>
      </c>
      <c r="P24" s="17">
        <v>60</v>
      </c>
      <c r="Q24" s="17">
        <v>80</v>
      </c>
      <c r="R24" s="17" t="s">
        <v>357</v>
      </c>
    </row>
    <row r="25" ht="36" customHeight="1" spans="1:18" x14ac:dyDescent="0.25">
      <c r="A25" s="21" t="s">
        <v>358</v>
      </c>
      <c r="B25" s="21" t="s">
        <v>359</v>
      </c>
      <c r="C25" s="21" t="s">
        <v>119</v>
      </c>
      <c r="D25" s="13" t="s">
        <v>360</v>
      </c>
      <c r="E25" s="13" t="s">
        <v>361</v>
      </c>
      <c r="F25" s="13" t="s">
        <v>362</v>
      </c>
      <c r="G25" s="13" t="s">
        <v>363</v>
      </c>
      <c r="H25" s="13" t="s">
        <v>364</v>
      </c>
      <c r="I25" s="13" t="s">
        <v>138</v>
      </c>
      <c r="J25" s="13" t="s">
        <v>139</v>
      </c>
      <c r="K25" s="13" t="s">
        <v>365</v>
      </c>
      <c r="L25" s="13" t="s">
        <v>366</v>
      </c>
      <c r="M25" s="13" t="s">
        <v>367</v>
      </c>
      <c r="N25" s="13" t="s">
        <v>368</v>
      </c>
      <c r="O25" s="21">
        <v>2</v>
      </c>
      <c r="P25" s="21">
        <v>45</v>
      </c>
      <c r="Q25" s="21">
        <v>60</v>
      </c>
      <c r="R25" s="21" t="s">
        <v>157</v>
      </c>
    </row>
    <row r="26" ht="36" customHeight="1" spans="1:18" x14ac:dyDescent="0.25">
      <c r="A26" s="17" t="s">
        <v>369</v>
      </c>
      <c r="B26" s="17" t="s">
        <v>359</v>
      </c>
      <c r="C26" s="17" t="s">
        <v>133</v>
      </c>
      <c r="D26" s="12" t="s">
        <v>370</v>
      </c>
      <c r="E26" s="12" t="s">
        <v>371</v>
      </c>
      <c r="F26" s="12" t="s">
        <v>372</v>
      </c>
      <c r="G26" s="12" t="s">
        <v>373</v>
      </c>
      <c r="H26" s="12" t="s">
        <v>374</v>
      </c>
      <c r="I26" s="12" t="s">
        <v>375</v>
      </c>
      <c r="J26" s="12" t="s">
        <v>376</v>
      </c>
      <c r="K26" s="12" t="s">
        <v>377</v>
      </c>
      <c r="L26" s="12" t="s">
        <v>378</v>
      </c>
      <c r="M26" s="12" t="s">
        <v>379</v>
      </c>
      <c r="N26" s="12" t="s">
        <v>380</v>
      </c>
      <c r="O26" s="17">
        <v>4</v>
      </c>
      <c r="P26" s="17">
        <v>55</v>
      </c>
      <c r="Q26" s="17">
        <v>75</v>
      </c>
      <c r="R26" s="17" t="s">
        <v>381</v>
      </c>
    </row>
    <row r="27" ht="36" customHeight="1" spans="1:18" x14ac:dyDescent="0.25">
      <c r="A27" s="21" t="s">
        <v>382</v>
      </c>
      <c r="B27" s="21" t="s">
        <v>383</v>
      </c>
      <c r="C27" s="21" t="s">
        <v>119</v>
      </c>
      <c r="D27" s="13" t="s">
        <v>384</v>
      </c>
      <c r="E27" s="13" t="s">
        <v>385</v>
      </c>
      <c r="F27" s="13" t="s">
        <v>386</v>
      </c>
      <c r="G27" s="13" t="s">
        <v>387</v>
      </c>
      <c r="H27" s="13" t="s">
        <v>388</v>
      </c>
      <c r="I27" s="13" t="s">
        <v>389</v>
      </c>
      <c r="J27" s="13" t="s">
        <v>390</v>
      </c>
      <c r="K27" s="13" t="s">
        <v>391</v>
      </c>
      <c r="L27" s="13" t="s">
        <v>392</v>
      </c>
      <c r="M27" s="13" t="s">
        <v>393</v>
      </c>
      <c r="N27" s="13" t="s">
        <v>394</v>
      </c>
      <c r="O27" s="21">
        <v>4</v>
      </c>
      <c r="P27" s="21">
        <v>50</v>
      </c>
      <c r="Q27" s="21">
        <v>70</v>
      </c>
      <c r="R27" s="21" t="s">
        <v>381</v>
      </c>
    </row>
    <row r="28" ht="36" customHeight="1" spans="1:18" x14ac:dyDescent="0.25">
      <c r="A28" s="17" t="s">
        <v>395</v>
      </c>
      <c r="B28" s="17" t="s">
        <v>383</v>
      </c>
      <c r="C28" s="17" t="s">
        <v>133</v>
      </c>
      <c r="D28" s="12" t="s">
        <v>396</v>
      </c>
      <c r="E28" s="12" t="s">
        <v>397</v>
      </c>
      <c r="F28" s="12" t="s">
        <v>398</v>
      </c>
      <c r="G28" s="12" t="s">
        <v>399</v>
      </c>
      <c r="H28" s="12" t="s">
        <v>124</v>
      </c>
      <c r="I28" s="12" t="s">
        <v>138</v>
      </c>
      <c r="J28" s="12" t="s">
        <v>139</v>
      </c>
      <c r="K28" s="12" t="s">
        <v>400</v>
      </c>
      <c r="L28" s="12" t="s">
        <v>401</v>
      </c>
      <c r="M28" s="12" t="s">
        <v>402</v>
      </c>
      <c r="N28" s="12" t="s">
        <v>403</v>
      </c>
      <c r="O28" s="17">
        <v>2</v>
      </c>
      <c r="P28" s="17">
        <v>40</v>
      </c>
      <c r="Q28" s="17">
        <v>55</v>
      </c>
      <c r="R28" s="17" t="s">
        <v>144</v>
      </c>
    </row>
    <row r="29" ht="36" customHeight="1" spans="1:18" x14ac:dyDescent="0.25">
      <c r="A29" s="21" t="s">
        <v>404</v>
      </c>
      <c r="B29" s="21" t="s">
        <v>405</v>
      </c>
      <c r="C29" s="21" t="s">
        <v>119</v>
      </c>
      <c r="D29" s="13" t="s">
        <v>406</v>
      </c>
      <c r="E29" s="13" t="s">
        <v>407</v>
      </c>
      <c r="F29" s="13" t="s">
        <v>408</v>
      </c>
      <c r="G29" s="13" t="s">
        <v>409</v>
      </c>
      <c r="H29" s="13" t="s">
        <v>410</v>
      </c>
      <c r="I29" s="13" t="s">
        <v>125</v>
      </c>
      <c r="J29" s="13" t="s">
        <v>411</v>
      </c>
      <c r="K29" s="13" t="s">
        <v>412</v>
      </c>
      <c r="L29" s="13" t="s">
        <v>413</v>
      </c>
      <c r="M29" s="13" t="s">
        <v>414</v>
      </c>
      <c r="N29" s="13" t="s">
        <v>415</v>
      </c>
      <c r="O29" s="21">
        <v>3</v>
      </c>
      <c r="P29" s="21">
        <v>55</v>
      </c>
      <c r="Q29" s="21">
        <v>75</v>
      </c>
      <c r="R29" s="21" t="s">
        <v>357</v>
      </c>
    </row>
    <row r="30" ht="36" customHeight="1" spans="1:18" x14ac:dyDescent="0.25">
      <c r="A30" s="17" t="s">
        <v>416</v>
      </c>
      <c r="B30" s="17" t="s">
        <v>405</v>
      </c>
      <c r="C30" s="17" t="s">
        <v>133</v>
      </c>
      <c r="D30" s="12" t="s">
        <v>417</v>
      </c>
      <c r="E30" s="12" t="s">
        <v>418</v>
      </c>
      <c r="F30" s="12" t="s">
        <v>419</v>
      </c>
      <c r="G30" s="12" t="s">
        <v>409</v>
      </c>
      <c r="H30" s="12" t="s">
        <v>420</v>
      </c>
      <c r="I30" s="12" t="s">
        <v>421</v>
      </c>
      <c r="J30" s="12" t="s">
        <v>422</v>
      </c>
      <c r="K30" s="12" t="s">
        <v>423</v>
      </c>
      <c r="L30" s="12" t="s">
        <v>424</v>
      </c>
      <c r="M30" s="12" t="s">
        <v>425</v>
      </c>
      <c r="N30" s="12" t="s">
        <v>426</v>
      </c>
      <c r="O30" s="17">
        <v>4</v>
      </c>
      <c r="P30" s="17">
        <v>50</v>
      </c>
      <c r="Q30" s="17">
        <v>70</v>
      </c>
      <c r="R30" s="17" t="s">
        <v>381</v>
      </c>
    </row>
    <row r="31" ht="36" customHeight="1" spans="1:18" x14ac:dyDescent="0.25">
      <c r="A31" s="21" t="s">
        <v>427</v>
      </c>
      <c r="B31" s="21" t="s">
        <v>428</v>
      </c>
      <c r="C31" s="21" t="s">
        <v>119</v>
      </c>
      <c r="D31" s="13" t="s">
        <v>429</v>
      </c>
      <c r="E31" s="13" t="s">
        <v>430</v>
      </c>
      <c r="F31" s="13" t="s">
        <v>431</v>
      </c>
      <c r="G31" s="13" t="s">
        <v>432</v>
      </c>
      <c r="H31" s="13" t="s">
        <v>433</v>
      </c>
      <c r="I31" s="13" t="s">
        <v>200</v>
      </c>
      <c r="J31" s="13" t="s">
        <v>201</v>
      </c>
      <c r="K31" s="13" t="s">
        <v>434</v>
      </c>
      <c r="L31" s="13" t="s">
        <v>435</v>
      </c>
      <c r="M31" s="13" t="s">
        <v>436</v>
      </c>
      <c r="N31" s="13" t="s">
        <v>437</v>
      </c>
      <c r="O31" s="21">
        <v>4</v>
      </c>
      <c r="P31" s="21">
        <v>50</v>
      </c>
      <c r="Q31" s="21">
        <v>70</v>
      </c>
      <c r="R31" s="21" t="s">
        <v>206</v>
      </c>
    </row>
    <row r="32" ht="36" customHeight="1" spans="1:18" x14ac:dyDescent="0.25">
      <c r="A32" s="17" t="s">
        <v>438</v>
      </c>
      <c r="B32" s="17" t="s">
        <v>439</v>
      </c>
      <c r="C32" s="17" t="s">
        <v>119</v>
      </c>
      <c r="D32" s="12" t="s">
        <v>440</v>
      </c>
      <c r="E32" s="12" t="s">
        <v>441</v>
      </c>
      <c r="F32" s="12" t="s">
        <v>442</v>
      </c>
      <c r="G32" s="12" t="s">
        <v>443</v>
      </c>
      <c r="H32" s="12" t="s">
        <v>444</v>
      </c>
      <c r="I32" s="12" t="s">
        <v>125</v>
      </c>
      <c r="J32" s="12" t="s">
        <v>126</v>
      </c>
      <c r="K32" s="12" t="s">
        <v>445</v>
      </c>
      <c r="L32" s="12" t="s">
        <v>446</v>
      </c>
      <c r="M32" s="12" t="s">
        <v>447</v>
      </c>
      <c r="N32" s="12" t="s">
        <v>448</v>
      </c>
      <c r="O32" s="17">
        <v>3</v>
      </c>
      <c r="P32" s="17">
        <v>50</v>
      </c>
      <c r="Q32" s="17">
        <v>70</v>
      </c>
      <c r="R32" s="17" t="s">
        <v>131</v>
      </c>
    </row>
    <row r="33" ht="36" customHeight="1" spans="1:18" x14ac:dyDescent="0.25">
      <c r="A33" s="21" t="s">
        <v>449</v>
      </c>
      <c r="B33" s="21" t="s">
        <v>439</v>
      </c>
      <c r="C33" s="21" t="s">
        <v>133</v>
      </c>
      <c r="D33" s="13" t="s">
        <v>450</v>
      </c>
      <c r="E33" s="13" t="s">
        <v>451</v>
      </c>
      <c r="F33" s="13" t="s">
        <v>452</v>
      </c>
      <c r="G33" s="13" t="s">
        <v>453</v>
      </c>
      <c r="H33" s="13" t="s">
        <v>124</v>
      </c>
      <c r="I33" s="13" t="s">
        <v>138</v>
      </c>
      <c r="J33" s="13" t="s">
        <v>139</v>
      </c>
      <c r="K33" s="13" t="s">
        <v>454</v>
      </c>
      <c r="L33" s="13" t="s">
        <v>455</v>
      </c>
      <c r="M33" s="13" t="s">
        <v>456</v>
      </c>
      <c r="N33" s="13" t="s">
        <v>457</v>
      </c>
      <c r="O33" s="21">
        <v>2</v>
      </c>
      <c r="P33" s="21">
        <v>50</v>
      </c>
      <c r="Q33" s="21">
        <v>70</v>
      </c>
      <c r="R33" s="21" t="s">
        <v>144</v>
      </c>
    </row>
    <row r="34" ht="36" customHeight="1" spans="1:18" x14ac:dyDescent="0.25">
      <c r="A34" s="17" t="s">
        <v>458</v>
      </c>
      <c r="B34" s="17" t="s">
        <v>459</v>
      </c>
      <c r="C34" s="17" t="s">
        <v>119</v>
      </c>
      <c r="D34" s="12" t="s">
        <v>460</v>
      </c>
      <c r="E34" s="12" t="s">
        <v>461</v>
      </c>
      <c r="F34" s="12" t="s">
        <v>462</v>
      </c>
      <c r="G34" s="12" t="s">
        <v>463</v>
      </c>
      <c r="H34" s="12" t="s">
        <v>464</v>
      </c>
      <c r="I34" s="12" t="s">
        <v>138</v>
      </c>
      <c r="J34" s="12" t="s">
        <v>139</v>
      </c>
      <c r="K34" s="12" t="s">
        <v>465</v>
      </c>
      <c r="L34" s="12" t="s">
        <v>466</v>
      </c>
      <c r="M34" s="12" t="s">
        <v>467</v>
      </c>
      <c r="N34" s="12" t="s">
        <v>468</v>
      </c>
      <c r="O34" s="17">
        <v>3</v>
      </c>
      <c r="P34" s="17">
        <v>45</v>
      </c>
      <c r="Q34" s="17">
        <v>65</v>
      </c>
      <c r="R34" s="17" t="s">
        <v>157</v>
      </c>
    </row>
    <row r="35" ht="36" customHeight="1" spans="1:18" x14ac:dyDescent="0.25">
      <c r="A35" s="26" t="s">
        <v>469</v>
      </c>
      <c r="B35" s="26" t="s">
        <v>470</v>
      </c>
      <c r="C35" s="26" t="s">
        <v>471</v>
      </c>
      <c r="D35" s="27" t="s">
        <v>472</v>
      </c>
      <c r="E35" s="27" t="s">
        <v>473</v>
      </c>
      <c r="F35" s="27" t="s">
        <v>474</v>
      </c>
      <c r="G35" s="27" t="s">
        <v>475</v>
      </c>
      <c r="H35" s="27" t="s">
        <v>476</v>
      </c>
      <c r="I35" s="27" t="s">
        <v>477</v>
      </c>
      <c r="J35" s="27" t="s">
        <v>478</v>
      </c>
      <c r="K35" s="27" t="s">
        <v>479</v>
      </c>
      <c r="L35" s="27" t="s">
        <v>480</v>
      </c>
      <c r="M35" s="27" t="s">
        <v>481</v>
      </c>
      <c r="N35" s="27" t="s">
        <v>482</v>
      </c>
      <c r="O35" s="26">
        <v>6</v>
      </c>
      <c r="P35" s="26">
        <v>90</v>
      </c>
      <c r="Q35" s="26">
        <v>120</v>
      </c>
      <c r="R35" s="26" t="s">
        <v>483</v>
      </c>
    </row>
    <row r="36" ht="36" customHeight="1" spans="1:18" x14ac:dyDescent="0.25">
      <c r="A36" s="26" t="s">
        <v>484</v>
      </c>
      <c r="B36" s="26" t="s">
        <v>470</v>
      </c>
      <c r="C36" s="26" t="s">
        <v>485</v>
      </c>
      <c r="D36" s="27" t="s">
        <v>486</v>
      </c>
      <c r="E36" s="27" t="s">
        <v>473</v>
      </c>
      <c r="F36" s="27" t="s">
        <v>487</v>
      </c>
      <c r="G36" s="27" t="s">
        <v>475</v>
      </c>
      <c r="H36" s="27" t="s">
        <v>488</v>
      </c>
      <c r="I36" s="27" t="s">
        <v>477</v>
      </c>
      <c r="J36" s="27" t="s">
        <v>478</v>
      </c>
      <c r="K36" s="27" t="s">
        <v>489</v>
      </c>
      <c r="L36" s="27" t="s">
        <v>490</v>
      </c>
      <c r="M36" s="27" t="s">
        <v>491</v>
      </c>
      <c r="N36" s="27" t="s">
        <v>492</v>
      </c>
      <c r="O36" s="26">
        <v>6</v>
      </c>
      <c r="P36" s="26">
        <v>90</v>
      </c>
      <c r="Q36" s="26">
        <v>120</v>
      </c>
      <c r="R36" s="26" t="s">
        <v>483</v>
      </c>
    </row>
    <row r="37" ht="36" customHeight="1" spans="1:18" x14ac:dyDescent="0.25">
      <c r="A37" s="26" t="s">
        <v>493</v>
      </c>
      <c r="B37" s="26" t="s">
        <v>470</v>
      </c>
      <c r="C37" s="26" t="s">
        <v>494</v>
      </c>
      <c r="D37" s="27" t="s">
        <v>495</v>
      </c>
      <c r="E37" s="27" t="s">
        <v>473</v>
      </c>
      <c r="F37" s="27" t="s">
        <v>496</v>
      </c>
      <c r="G37" s="27" t="s">
        <v>497</v>
      </c>
      <c r="H37" s="27" t="s">
        <v>498</v>
      </c>
      <c r="I37" s="27" t="s">
        <v>499</v>
      </c>
      <c r="J37" s="27" t="s">
        <v>500</v>
      </c>
      <c r="K37" s="27" t="s">
        <v>501</v>
      </c>
      <c r="L37" s="27" t="s">
        <v>502</v>
      </c>
      <c r="M37" s="27" t="s">
        <v>503</v>
      </c>
      <c r="N37" s="27" t="s">
        <v>504</v>
      </c>
      <c r="O37" s="26">
        <v>5</v>
      </c>
      <c r="P37" s="26">
        <v>75</v>
      </c>
      <c r="Q37" s="26">
        <v>105</v>
      </c>
      <c r="R37" s="26" t="s">
        <v>505</v>
      </c>
    </row>
    <row r="38" ht="36" customHeight="1" spans="1:18" x14ac:dyDescent="0.25">
      <c r="A38" s="26" t="s">
        <v>506</v>
      </c>
      <c r="B38" s="26" t="s">
        <v>507</v>
      </c>
      <c r="C38" s="26" t="s">
        <v>508</v>
      </c>
      <c r="D38" s="27" t="s">
        <v>509</v>
      </c>
      <c r="E38" s="27" t="s">
        <v>510</v>
      </c>
      <c r="F38" s="27" t="s">
        <v>511</v>
      </c>
      <c r="G38" s="27" t="s">
        <v>512</v>
      </c>
      <c r="H38" s="27" t="s">
        <v>513</v>
      </c>
      <c r="I38" s="27" t="s">
        <v>514</v>
      </c>
      <c r="J38" s="27" t="s">
        <v>515</v>
      </c>
      <c r="K38" s="27" t="s">
        <v>516</v>
      </c>
      <c r="L38" s="27" t="s">
        <v>517</v>
      </c>
      <c r="M38" s="27" t="s">
        <v>518</v>
      </c>
      <c r="N38" s="27" t="s">
        <v>519</v>
      </c>
      <c r="O38" s="26">
        <v>8</v>
      </c>
      <c r="P38" s="26">
        <v>180</v>
      </c>
      <c r="Q38" s="26">
        <v>210</v>
      </c>
      <c r="R38" s="26" t="s">
        <v>520</v>
      </c>
    </row>
    <row r="39" ht="24" customHeight="1" spans="1:18" x14ac:dyDescent="0.25">
      <c r="A39" s="28" t="s">
        <v>521</v>
      </c>
      <c r="D39" s="28" t="s">
        <v>522</v>
      </c>
      <c r="O39" s="28">
        <f>AVERAGE(O4:O38)</f>
      </c>
      <c r="P39" s="28">
        <f>SUM(P4:P38)</f>
      </c>
      <c r="Q39" s="28">
        <f>SUM(Q4:Q38)</f>
      </c>
      <c r="R39" s="28">
        <f>SUM(R4:R38)</f>
      </c>
    </row>
  </sheetData>
  <autoFilter ref="A3:R38"/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5" width="18" customWidth="1"/>
    <col min="6" max="7" width="15" customWidth="1"/>
    <col min="8" max="8" width="42" customWidth="1"/>
    <col min="9" max="9" width="36" customWidth="1"/>
    <col min="10" max="10" width="32" customWidth="1"/>
  </cols>
  <sheetData>
    <row r="1" ht="32" customHeight="1" spans="1:10" x14ac:dyDescent="0.25">
      <c r="A1" s="23" t="s">
        <v>523</v>
      </c>
      <c r="B1" s="23"/>
      <c r="C1" s="23"/>
      <c r="D1" s="23"/>
      <c r="E1" s="23"/>
      <c r="F1" s="23"/>
      <c r="G1" s="23"/>
      <c r="H1" s="23"/>
      <c r="I1" s="23"/>
      <c r="J1" s="23"/>
    </row>
    <row r="2" ht="20" customHeight="1" spans="1:10" x14ac:dyDescent="0.25">
      <c r="A2" s="24" t="s">
        <v>524</v>
      </c>
      <c r="B2" s="24"/>
      <c r="C2" s="24"/>
      <c r="D2" s="24"/>
      <c r="E2" s="24"/>
      <c r="F2" s="24"/>
      <c r="G2" s="24"/>
      <c r="H2" s="24"/>
      <c r="I2" s="24"/>
      <c r="J2" s="24"/>
    </row>
    <row r="3" ht="26" customHeight="1" spans="1:10" x14ac:dyDescent="0.25">
      <c r="A3" s="29" t="s">
        <v>525</v>
      </c>
      <c r="B3" s="29" t="s">
        <v>526</v>
      </c>
      <c r="C3" s="29" t="s">
        <v>527</v>
      </c>
      <c r="D3" s="29" t="s">
        <v>528</v>
      </c>
      <c r="E3" s="29" t="s">
        <v>529</v>
      </c>
      <c r="F3" s="29" t="s">
        <v>530</v>
      </c>
      <c r="G3" s="29" t="s">
        <v>531</v>
      </c>
      <c r="H3" s="29" t="s">
        <v>532</v>
      </c>
      <c r="I3" s="29" t="s">
        <v>533</v>
      </c>
      <c r="J3" s="29" t="s">
        <v>534</v>
      </c>
    </row>
    <row r="4" ht="36" customHeight="1" spans="1:10" x14ac:dyDescent="0.25">
      <c r="A4" s="17" t="s">
        <v>535</v>
      </c>
      <c r="B4" s="12" t="s">
        <v>536</v>
      </c>
      <c r="C4" s="12" t="s">
        <v>537</v>
      </c>
      <c r="D4" s="17" t="s">
        <v>538</v>
      </c>
      <c r="E4" s="17" t="s">
        <v>539</v>
      </c>
      <c r="F4" s="17" t="s">
        <v>540</v>
      </c>
      <c r="G4" s="17" t="s">
        <v>541</v>
      </c>
      <c r="H4" s="12" t="s">
        <v>542</v>
      </c>
      <c r="I4" s="12" t="s">
        <v>543</v>
      </c>
      <c r="J4" s="12" t="s">
        <v>544</v>
      </c>
    </row>
    <row r="5" ht="36" customHeight="1" spans="1:10" x14ac:dyDescent="0.25">
      <c r="A5" s="21" t="s">
        <v>545</v>
      </c>
      <c r="B5" s="13" t="s">
        <v>546</v>
      </c>
      <c r="C5" s="13" t="s">
        <v>547</v>
      </c>
      <c r="D5" s="21" t="s">
        <v>548</v>
      </c>
      <c r="E5" s="21" t="s">
        <v>549</v>
      </c>
      <c r="F5" s="21" t="s">
        <v>550</v>
      </c>
      <c r="G5" s="21" t="s">
        <v>551</v>
      </c>
      <c r="H5" s="13" t="s">
        <v>552</v>
      </c>
      <c r="I5" s="13" t="s">
        <v>553</v>
      </c>
      <c r="J5" s="13" t="s">
        <v>554</v>
      </c>
    </row>
    <row r="6" ht="36" customHeight="1" spans="1:10" x14ac:dyDescent="0.25">
      <c r="A6" s="17" t="s">
        <v>555</v>
      </c>
      <c r="B6" s="12" t="s">
        <v>556</v>
      </c>
      <c r="C6" s="12" t="s">
        <v>557</v>
      </c>
      <c r="D6" s="17" t="s">
        <v>548</v>
      </c>
      <c r="E6" s="17" t="s">
        <v>549</v>
      </c>
      <c r="F6" s="17" t="s">
        <v>550</v>
      </c>
      <c r="G6" s="17" t="s">
        <v>551</v>
      </c>
      <c r="H6" s="12" t="s">
        <v>558</v>
      </c>
      <c r="I6" s="12" t="s">
        <v>559</v>
      </c>
      <c r="J6" s="12" t="s">
        <v>560</v>
      </c>
    </row>
    <row r="7" ht="36" customHeight="1" spans="1:10" x14ac:dyDescent="0.25">
      <c r="A7" s="21" t="s">
        <v>561</v>
      </c>
      <c r="B7" s="13" t="s">
        <v>562</v>
      </c>
      <c r="C7" s="13" t="s">
        <v>137</v>
      </c>
      <c r="D7" s="21" t="s">
        <v>563</v>
      </c>
      <c r="E7" s="21" t="s">
        <v>564</v>
      </c>
      <c r="F7" s="21" t="s">
        <v>565</v>
      </c>
      <c r="G7" s="21" t="s">
        <v>566</v>
      </c>
      <c r="H7" s="13" t="s">
        <v>567</v>
      </c>
      <c r="I7" s="13" t="s">
        <v>568</v>
      </c>
      <c r="J7" s="13" t="s">
        <v>569</v>
      </c>
    </row>
    <row r="8" ht="36" customHeight="1" spans="1:10" x14ac:dyDescent="0.25">
      <c r="A8" s="17" t="s">
        <v>570</v>
      </c>
      <c r="B8" s="12" t="s">
        <v>571</v>
      </c>
      <c r="C8" s="12" t="s">
        <v>137</v>
      </c>
      <c r="D8" s="17" t="s">
        <v>563</v>
      </c>
      <c r="E8" s="17" t="s">
        <v>564</v>
      </c>
      <c r="F8" s="17" t="s">
        <v>565</v>
      </c>
      <c r="G8" s="17" t="s">
        <v>572</v>
      </c>
      <c r="H8" s="12" t="s">
        <v>573</v>
      </c>
      <c r="I8" s="12" t="s">
        <v>574</v>
      </c>
      <c r="J8" s="12" t="s">
        <v>575</v>
      </c>
    </row>
    <row r="9" ht="36" customHeight="1" spans="1:10" x14ac:dyDescent="0.25">
      <c r="A9" s="21" t="s">
        <v>576</v>
      </c>
      <c r="B9" s="13" t="s">
        <v>577</v>
      </c>
      <c r="C9" s="13" t="s">
        <v>137</v>
      </c>
      <c r="D9" s="21" t="s">
        <v>563</v>
      </c>
      <c r="E9" s="21" t="s">
        <v>564</v>
      </c>
      <c r="F9" s="21" t="s">
        <v>565</v>
      </c>
      <c r="G9" s="21" t="s">
        <v>578</v>
      </c>
      <c r="H9" s="13" t="s">
        <v>579</v>
      </c>
      <c r="I9" s="13" t="s">
        <v>580</v>
      </c>
      <c r="J9" s="13" t="s">
        <v>581</v>
      </c>
    </row>
    <row r="10" ht="36" customHeight="1" spans="1:10" x14ac:dyDescent="0.25">
      <c r="A10" s="17" t="s">
        <v>582</v>
      </c>
      <c r="B10" s="12" t="s">
        <v>583</v>
      </c>
      <c r="C10" s="12" t="s">
        <v>137</v>
      </c>
      <c r="D10" s="17" t="s">
        <v>548</v>
      </c>
      <c r="E10" s="17" t="s">
        <v>549</v>
      </c>
      <c r="F10" s="17" t="s">
        <v>550</v>
      </c>
      <c r="G10" s="17" t="s">
        <v>584</v>
      </c>
      <c r="H10" s="12" t="s">
        <v>585</v>
      </c>
      <c r="I10" s="12" t="s">
        <v>586</v>
      </c>
      <c r="J10" s="12" t="s">
        <v>587</v>
      </c>
    </row>
    <row r="11" ht="36" customHeight="1" spans="1:10" x14ac:dyDescent="0.25">
      <c r="A11" s="21" t="s">
        <v>588</v>
      </c>
      <c r="B11" s="13" t="s">
        <v>589</v>
      </c>
      <c r="C11" s="13" t="s">
        <v>590</v>
      </c>
      <c r="D11" s="21" t="s">
        <v>538</v>
      </c>
      <c r="E11" s="21" t="s">
        <v>539</v>
      </c>
      <c r="F11" s="21" t="s">
        <v>540</v>
      </c>
      <c r="G11" s="21" t="s">
        <v>591</v>
      </c>
      <c r="H11" s="13" t="s">
        <v>592</v>
      </c>
      <c r="I11" s="13" t="s">
        <v>593</v>
      </c>
      <c r="J11" s="13" t="s">
        <v>594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16" customWidth="1"/>
    <col min="5" max="5" width="18" customWidth="1"/>
    <col min="6" max="6" width="20" customWidth="1"/>
    <col min="7" max="9" width="18" customWidth="1"/>
    <col min="10" max="10" width="22" customWidth="1"/>
  </cols>
  <sheetData>
    <row r="1" ht="32" customHeight="1" spans="1:10" x14ac:dyDescent="0.25">
      <c r="A1" s="23" t="s">
        <v>595</v>
      </c>
      <c r="B1" s="23"/>
      <c r="C1" s="23"/>
      <c r="D1" s="23"/>
      <c r="E1" s="23"/>
      <c r="F1" s="23"/>
      <c r="G1" s="23"/>
      <c r="H1" s="23"/>
      <c r="I1" s="23"/>
      <c r="J1" s="23"/>
    </row>
    <row r="2" ht="20" customHeight="1" spans="1:10" x14ac:dyDescent="0.25">
      <c r="A2" s="24" t="s">
        <v>596</v>
      </c>
      <c r="B2" s="24"/>
      <c r="C2" s="24"/>
      <c r="D2" s="24"/>
      <c r="E2" s="24"/>
      <c r="F2" s="24"/>
      <c r="G2" s="24"/>
      <c r="H2" s="24"/>
      <c r="I2" s="24"/>
      <c r="J2" s="24"/>
    </row>
    <row r="3" ht="26" customHeight="1" spans="1:10" x14ac:dyDescent="0.25">
      <c r="A3" s="30" t="s">
        <v>99</v>
      </c>
      <c r="B3" s="30" t="s">
        <v>102</v>
      </c>
      <c r="C3" s="30" t="s">
        <v>597</v>
      </c>
      <c r="D3" s="30" t="s">
        <v>598</v>
      </c>
      <c r="E3" s="30" t="s">
        <v>599</v>
      </c>
      <c r="F3" s="30" t="s">
        <v>600</v>
      </c>
      <c r="G3" s="30" t="s">
        <v>601</v>
      </c>
      <c r="H3" s="30" t="s">
        <v>602</v>
      </c>
      <c r="I3" s="30" t="s">
        <v>603</v>
      </c>
      <c r="J3" s="30" t="s">
        <v>604</v>
      </c>
    </row>
    <row r="4" ht="24" customHeight="1" spans="1:10" x14ac:dyDescent="0.25">
      <c r="A4" s="17" t="s">
        <v>117</v>
      </c>
      <c r="B4" s="12" t="s">
        <v>120</v>
      </c>
      <c r="C4" s="17" t="s">
        <v>118</v>
      </c>
      <c r="D4" s="17">
        <v>3</v>
      </c>
      <c r="E4" s="17">
        <v>7</v>
      </c>
      <c r="F4" s="17">
        <v>31</v>
      </c>
      <c r="G4" s="17">
        <v>7</v>
      </c>
      <c r="H4" s="17">
        <v>48</v>
      </c>
      <c r="I4" s="17">
        <v>45</v>
      </c>
      <c r="J4" s="17" t="s">
        <v>605</v>
      </c>
    </row>
    <row r="5" ht="24" customHeight="1" spans="1:10" x14ac:dyDescent="0.25">
      <c r="A5" s="21" t="s">
        <v>132</v>
      </c>
      <c r="B5" s="13" t="s">
        <v>134</v>
      </c>
      <c r="C5" s="21" t="s">
        <v>118</v>
      </c>
      <c r="D5" s="21">
        <v>2</v>
      </c>
      <c r="E5" s="21">
        <v>6</v>
      </c>
      <c r="F5" s="21">
        <v>28</v>
      </c>
      <c r="G5" s="21">
        <v>6</v>
      </c>
      <c r="H5" s="21">
        <v>42</v>
      </c>
      <c r="I5" s="21">
        <v>41</v>
      </c>
      <c r="J5" s="21" t="s">
        <v>605</v>
      </c>
    </row>
    <row r="6" ht="24" customHeight="1" spans="1:10" x14ac:dyDescent="0.25">
      <c r="A6" s="17" t="s">
        <v>145</v>
      </c>
      <c r="B6" s="12" t="s">
        <v>147</v>
      </c>
      <c r="C6" s="17" t="s">
        <v>146</v>
      </c>
      <c r="D6" s="17">
        <v>2</v>
      </c>
      <c r="E6" s="17">
        <v>7</v>
      </c>
      <c r="F6" s="17">
        <v>31</v>
      </c>
      <c r="G6" s="17">
        <v>7</v>
      </c>
      <c r="H6" s="17">
        <v>47</v>
      </c>
      <c r="I6" s="17">
        <v>45</v>
      </c>
      <c r="J6" s="17" t="s">
        <v>605</v>
      </c>
    </row>
    <row r="7" ht="24" customHeight="1" spans="1:10" x14ac:dyDescent="0.25">
      <c r="A7" s="21" t="s">
        <v>158</v>
      </c>
      <c r="B7" s="13" t="s">
        <v>159</v>
      </c>
      <c r="C7" s="21" t="s">
        <v>146</v>
      </c>
      <c r="D7" s="21">
        <v>3</v>
      </c>
      <c r="E7" s="21">
        <v>8</v>
      </c>
      <c r="F7" s="21">
        <v>35</v>
      </c>
      <c r="G7" s="21">
        <v>8</v>
      </c>
      <c r="H7" s="21">
        <v>54</v>
      </c>
      <c r="I7" s="21">
        <v>53</v>
      </c>
      <c r="J7" s="21" t="s">
        <v>605</v>
      </c>
    </row>
    <row r="8" ht="24" customHeight="1" spans="1:10" x14ac:dyDescent="0.25">
      <c r="A8" s="17" t="s">
        <v>169</v>
      </c>
      <c r="B8" s="12" t="s">
        <v>171</v>
      </c>
      <c r="C8" s="17" t="s">
        <v>170</v>
      </c>
      <c r="D8" s="17">
        <v>4</v>
      </c>
      <c r="E8" s="17">
        <v>9</v>
      </c>
      <c r="F8" s="17">
        <v>42</v>
      </c>
      <c r="G8" s="17">
        <v>9</v>
      </c>
      <c r="H8" s="17">
        <v>64</v>
      </c>
      <c r="I8" s="17">
        <v>60</v>
      </c>
      <c r="J8" s="17" t="s">
        <v>605</v>
      </c>
    </row>
    <row r="9" ht="24" customHeight="1" spans="1:10" x14ac:dyDescent="0.25">
      <c r="A9" s="21" t="s">
        <v>182</v>
      </c>
      <c r="B9" s="13" t="s">
        <v>183</v>
      </c>
      <c r="C9" s="21" t="s">
        <v>170</v>
      </c>
      <c r="D9" s="21">
        <v>3</v>
      </c>
      <c r="E9" s="21">
        <v>7</v>
      </c>
      <c r="F9" s="21">
        <v>31</v>
      </c>
      <c r="G9" s="21">
        <v>7</v>
      </c>
      <c r="H9" s="21">
        <v>48</v>
      </c>
      <c r="I9" s="21">
        <v>45</v>
      </c>
      <c r="J9" s="21" t="s">
        <v>605</v>
      </c>
    </row>
    <row r="10" ht="24" customHeight="1" spans="1:10" x14ac:dyDescent="0.25">
      <c r="A10" s="17" t="s">
        <v>192</v>
      </c>
      <c r="B10" s="12" t="s">
        <v>195</v>
      </c>
      <c r="C10" s="17" t="s">
        <v>193</v>
      </c>
      <c r="D10" s="17">
        <v>4</v>
      </c>
      <c r="E10" s="17">
        <v>8</v>
      </c>
      <c r="F10" s="17">
        <v>35</v>
      </c>
      <c r="G10" s="17">
        <v>8</v>
      </c>
      <c r="H10" s="17">
        <v>55</v>
      </c>
      <c r="I10" s="17">
        <v>56</v>
      </c>
      <c r="J10" s="17" t="s">
        <v>605</v>
      </c>
    </row>
    <row r="11" ht="24" customHeight="1" spans="1:10" x14ac:dyDescent="0.25">
      <c r="A11" s="21" t="s">
        <v>207</v>
      </c>
      <c r="B11" s="13" t="s">
        <v>209</v>
      </c>
      <c r="C11" s="21" t="s">
        <v>193</v>
      </c>
      <c r="D11" s="21">
        <v>3</v>
      </c>
      <c r="E11" s="21">
        <v>7</v>
      </c>
      <c r="F11" s="21">
        <v>31</v>
      </c>
      <c r="G11" s="21">
        <v>7</v>
      </c>
      <c r="H11" s="21">
        <v>48</v>
      </c>
      <c r="I11" s="21">
        <v>49</v>
      </c>
      <c r="J11" s="21" t="s">
        <v>605</v>
      </c>
    </row>
    <row r="12" ht="24" customHeight="1" spans="1:10" x14ac:dyDescent="0.25">
      <c r="A12" s="17" t="s">
        <v>218</v>
      </c>
      <c r="B12" s="12" t="s">
        <v>220</v>
      </c>
      <c r="C12" s="17" t="s">
        <v>193</v>
      </c>
      <c r="D12" s="17">
        <v>3</v>
      </c>
      <c r="E12" s="17">
        <v>6</v>
      </c>
      <c r="F12" s="17">
        <v>28</v>
      </c>
      <c r="G12" s="17">
        <v>6</v>
      </c>
      <c r="H12" s="17">
        <v>43</v>
      </c>
      <c r="I12" s="17">
        <v>45</v>
      </c>
      <c r="J12" s="17" t="s">
        <v>605</v>
      </c>
    </row>
    <row r="13" ht="24" customHeight="1" spans="1:10" x14ac:dyDescent="0.25">
      <c r="A13" s="21" t="s">
        <v>230</v>
      </c>
      <c r="B13" s="13" t="s">
        <v>232</v>
      </c>
      <c r="C13" s="21" t="s">
        <v>193</v>
      </c>
      <c r="D13" s="21">
        <v>3</v>
      </c>
      <c r="E13" s="21">
        <v>7</v>
      </c>
      <c r="F13" s="21">
        <v>31</v>
      </c>
      <c r="G13" s="21">
        <v>7</v>
      </c>
      <c r="H13" s="21">
        <v>48</v>
      </c>
      <c r="I13" s="21">
        <v>49</v>
      </c>
      <c r="J13" s="21" t="s">
        <v>605</v>
      </c>
    </row>
    <row r="14" ht="24" customHeight="1" spans="1:10" x14ac:dyDescent="0.25">
      <c r="A14" s="17" t="s">
        <v>241</v>
      </c>
      <c r="B14" s="12" t="s">
        <v>243</v>
      </c>
      <c r="C14" s="17" t="s">
        <v>242</v>
      </c>
      <c r="D14" s="17">
        <v>5</v>
      </c>
      <c r="E14" s="17">
        <v>9</v>
      </c>
      <c r="F14" s="17">
        <v>42</v>
      </c>
      <c r="G14" s="17">
        <v>9</v>
      </c>
      <c r="H14" s="17">
        <v>65</v>
      </c>
      <c r="I14" s="17">
        <v>60</v>
      </c>
      <c r="J14" s="17" t="s">
        <v>605</v>
      </c>
    </row>
    <row r="15" ht="24" customHeight="1" spans="1:10" x14ac:dyDescent="0.25">
      <c r="A15" s="21" t="s">
        <v>254</v>
      </c>
      <c r="B15" s="13" t="s">
        <v>255</v>
      </c>
      <c r="C15" s="21" t="s">
        <v>242</v>
      </c>
      <c r="D15" s="21">
        <v>3</v>
      </c>
      <c r="E15" s="21">
        <v>8</v>
      </c>
      <c r="F15" s="21">
        <v>35</v>
      </c>
      <c r="G15" s="21">
        <v>8</v>
      </c>
      <c r="H15" s="21">
        <v>54</v>
      </c>
      <c r="I15" s="21">
        <v>53</v>
      </c>
      <c r="J15" s="21" t="s">
        <v>605</v>
      </c>
    </row>
    <row r="16" ht="24" customHeight="1" spans="1:10" x14ac:dyDescent="0.25">
      <c r="A16" s="17" t="s">
        <v>263</v>
      </c>
      <c r="B16" s="12" t="s">
        <v>264</v>
      </c>
      <c r="C16" s="17" t="s">
        <v>242</v>
      </c>
      <c r="D16" s="17">
        <v>5</v>
      </c>
      <c r="E16" s="17">
        <v>8</v>
      </c>
      <c r="F16" s="17">
        <v>39</v>
      </c>
      <c r="G16" s="17">
        <v>8</v>
      </c>
      <c r="H16" s="17">
        <v>60</v>
      </c>
      <c r="I16" s="17">
        <v>60</v>
      </c>
      <c r="J16" s="17" t="s">
        <v>605</v>
      </c>
    </row>
    <row r="17" ht="24" customHeight="1" spans="1:10" x14ac:dyDescent="0.25">
      <c r="A17" s="21" t="s">
        <v>274</v>
      </c>
      <c r="B17" s="13" t="s">
        <v>276</v>
      </c>
      <c r="C17" s="21" t="s">
        <v>275</v>
      </c>
      <c r="D17" s="21">
        <v>3</v>
      </c>
      <c r="E17" s="21">
        <v>7</v>
      </c>
      <c r="F17" s="21">
        <v>31</v>
      </c>
      <c r="G17" s="21">
        <v>7</v>
      </c>
      <c r="H17" s="21">
        <v>48</v>
      </c>
      <c r="I17" s="21">
        <v>49</v>
      </c>
      <c r="J17" s="21" t="s">
        <v>605</v>
      </c>
    </row>
    <row r="18" ht="24" customHeight="1" spans="1:10" x14ac:dyDescent="0.25">
      <c r="A18" s="17" t="s">
        <v>285</v>
      </c>
      <c r="B18" s="12" t="s">
        <v>286</v>
      </c>
      <c r="C18" s="17" t="s">
        <v>275</v>
      </c>
      <c r="D18" s="17">
        <v>2</v>
      </c>
      <c r="E18" s="17">
        <v>6</v>
      </c>
      <c r="F18" s="17">
        <v>28</v>
      </c>
      <c r="G18" s="17">
        <v>6</v>
      </c>
      <c r="H18" s="17">
        <v>42</v>
      </c>
      <c r="I18" s="17">
        <v>41</v>
      </c>
      <c r="J18" s="17" t="s">
        <v>605</v>
      </c>
    </row>
    <row r="19" ht="24" customHeight="1" spans="1:10" x14ac:dyDescent="0.25">
      <c r="A19" s="21" t="s">
        <v>293</v>
      </c>
      <c r="B19" s="13" t="s">
        <v>295</v>
      </c>
      <c r="C19" s="21" t="s">
        <v>294</v>
      </c>
      <c r="D19" s="21">
        <v>3</v>
      </c>
      <c r="E19" s="21">
        <v>7</v>
      </c>
      <c r="F19" s="21">
        <v>31</v>
      </c>
      <c r="G19" s="21">
        <v>7</v>
      </c>
      <c r="H19" s="21">
        <v>48</v>
      </c>
      <c r="I19" s="21">
        <v>49</v>
      </c>
      <c r="J19" s="21" t="s">
        <v>605</v>
      </c>
    </row>
    <row r="20" ht="24" customHeight="1" spans="1:10" x14ac:dyDescent="0.25">
      <c r="A20" s="17" t="s">
        <v>303</v>
      </c>
      <c r="B20" s="12" t="s">
        <v>304</v>
      </c>
      <c r="C20" s="17" t="s">
        <v>294</v>
      </c>
      <c r="D20" s="17">
        <v>2</v>
      </c>
      <c r="E20" s="17">
        <v>6</v>
      </c>
      <c r="F20" s="17">
        <v>28</v>
      </c>
      <c r="G20" s="17">
        <v>6</v>
      </c>
      <c r="H20" s="17">
        <v>42</v>
      </c>
      <c r="I20" s="17">
        <v>41</v>
      </c>
      <c r="J20" s="17" t="s">
        <v>605</v>
      </c>
    </row>
    <row r="21" ht="24" customHeight="1" spans="1:10" x14ac:dyDescent="0.25">
      <c r="A21" s="21" t="s">
        <v>311</v>
      </c>
      <c r="B21" s="13" t="s">
        <v>313</v>
      </c>
      <c r="C21" s="21" t="s">
        <v>312</v>
      </c>
      <c r="D21" s="21">
        <v>2</v>
      </c>
      <c r="E21" s="21">
        <v>8</v>
      </c>
      <c r="F21" s="21">
        <v>35</v>
      </c>
      <c r="G21" s="21">
        <v>8</v>
      </c>
      <c r="H21" s="21">
        <v>53</v>
      </c>
      <c r="I21" s="21">
        <v>53</v>
      </c>
      <c r="J21" s="21" t="s">
        <v>605</v>
      </c>
    </row>
    <row r="22" ht="24" customHeight="1" spans="1:10" x14ac:dyDescent="0.25">
      <c r="A22" s="17" t="s">
        <v>322</v>
      </c>
      <c r="B22" s="12" t="s">
        <v>323</v>
      </c>
      <c r="C22" s="17" t="s">
        <v>312</v>
      </c>
      <c r="D22" s="17">
        <v>3</v>
      </c>
      <c r="E22" s="17">
        <v>8</v>
      </c>
      <c r="F22" s="17">
        <v>35</v>
      </c>
      <c r="G22" s="17">
        <v>8</v>
      </c>
      <c r="H22" s="17">
        <v>54</v>
      </c>
      <c r="I22" s="17">
        <v>53</v>
      </c>
      <c r="J22" s="17" t="s">
        <v>605</v>
      </c>
    </row>
    <row r="23" ht="24" customHeight="1" spans="1:10" x14ac:dyDescent="0.25">
      <c r="A23" s="21" t="s">
        <v>335</v>
      </c>
      <c r="B23" s="13" t="s">
        <v>337</v>
      </c>
      <c r="C23" s="21" t="s">
        <v>336</v>
      </c>
      <c r="D23" s="21">
        <v>5</v>
      </c>
      <c r="E23" s="21">
        <v>8</v>
      </c>
      <c r="F23" s="21">
        <v>39</v>
      </c>
      <c r="G23" s="21">
        <v>8</v>
      </c>
      <c r="H23" s="21">
        <v>60</v>
      </c>
      <c r="I23" s="21">
        <v>60</v>
      </c>
      <c r="J23" s="21" t="s">
        <v>605</v>
      </c>
    </row>
    <row r="24" ht="24" customHeight="1" spans="1:10" x14ac:dyDescent="0.25">
      <c r="A24" s="17" t="s">
        <v>348</v>
      </c>
      <c r="B24" s="12" t="s">
        <v>349</v>
      </c>
      <c r="C24" s="17" t="s">
        <v>336</v>
      </c>
      <c r="D24" s="17">
        <v>2</v>
      </c>
      <c r="E24" s="17">
        <v>9</v>
      </c>
      <c r="F24" s="17">
        <v>42</v>
      </c>
      <c r="G24" s="17">
        <v>9</v>
      </c>
      <c r="H24" s="17">
        <v>62</v>
      </c>
      <c r="I24" s="17">
        <v>60</v>
      </c>
      <c r="J24" s="17" t="s">
        <v>605</v>
      </c>
    </row>
    <row r="25" ht="24" customHeight="1" spans="1:10" x14ac:dyDescent="0.25">
      <c r="A25" s="21" t="s">
        <v>358</v>
      </c>
      <c r="B25" s="13" t="s">
        <v>360</v>
      </c>
      <c r="C25" s="21" t="s">
        <v>359</v>
      </c>
      <c r="D25" s="21">
        <v>2</v>
      </c>
      <c r="E25" s="21">
        <v>7</v>
      </c>
      <c r="F25" s="21">
        <v>31</v>
      </c>
      <c r="G25" s="21">
        <v>7</v>
      </c>
      <c r="H25" s="21">
        <v>47</v>
      </c>
      <c r="I25" s="21">
        <v>45</v>
      </c>
      <c r="J25" s="21" t="s">
        <v>605</v>
      </c>
    </row>
    <row r="26" ht="24" customHeight="1" spans="1:10" x14ac:dyDescent="0.25">
      <c r="A26" s="17" t="s">
        <v>369</v>
      </c>
      <c r="B26" s="12" t="s">
        <v>370</v>
      </c>
      <c r="C26" s="17" t="s">
        <v>359</v>
      </c>
      <c r="D26" s="17">
        <v>4</v>
      </c>
      <c r="E26" s="17">
        <v>8</v>
      </c>
      <c r="F26" s="17">
        <v>39</v>
      </c>
      <c r="G26" s="17">
        <v>8</v>
      </c>
      <c r="H26" s="17">
        <v>59</v>
      </c>
      <c r="I26" s="17">
        <v>56</v>
      </c>
      <c r="J26" s="17" t="s">
        <v>605</v>
      </c>
    </row>
    <row r="27" ht="24" customHeight="1" spans="1:10" x14ac:dyDescent="0.25">
      <c r="A27" s="21" t="s">
        <v>382</v>
      </c>
      <c r="B27" s="13" t="s">
        <v>384</v>
      </c>
      <c r="C27" s="21" t="s">
        <v>383</v>
      </c>
      <c r="D27" s="21">
        <v>4</v>
      </c>
      <c r="E27" s="21">
        <v>8</v>
      </c>
      <c r="F27" s="21">
        <v>35</v>
      </c>
      <c r="G27" s="21">
        <v>8</v>
      </c>
      <c r="H27" s="21">
        <v>55</v>
      </c>
      <c r="I27" s="21">
        <v>53</v>
      </c>
      <c r="J27" s="21" t="s">
        <v>605</v>
      </c>
    </row>
    <row r="28" ht="24" customHeight="1" spans="1:10" x14ac:dyDescent="0.25">
      <c r="A28" s="17" t="s">
        <v>395</v>
      </c>
      <c r="B28" s="12" t="s">
        <v>396</v>
      </c>
      <c r="C28" s="17" t="s">
        <v>383</v>
      </c>
      <c r="D28" s="17">
        <v>2</v>
      </c>
      <c r="E28" s="17">
        <v>6</v>
      </c>
      <c r="F28" s="17">
        <v>28</v>
      </c>
      <c r="G28" s="17">
        <v>6</v>
      </c>
      <c r="H28" s="17">
        <v>42</v>
      </c>
      <c r="I28" s="17">
        <v>41</v>
      </c>
      <c r="J28" s="17" t="s">
        <v>605</v>
      </c>
    </row>
    <row r="29" ht="24" customHeight="1" spans="1:10" x14ac:dyDescent="0.25">
      <c r="A29" s="21" t="s">
        <v>404</v>
      </c>
      <c r="B29" s="13" t="s">
        <v>406</v>
      </c>
      <c r="C29" s="21" t="s">
        <v>405</v>
      </c>
      <c r="D29" s="21">
        <v>3</v>
      </c>
      <c r="E29" s="21">
        <v>8</v>
      </c>
      <c r="F29" s="21">
        <v>39</v>
      </c>
      <c r="G29" s="21">
        <v>8</v>
      </c>
      <c r="H29" s="21">
        <v>58</v>
      </c>
      <c r="I29" s="21">
        <v>56</v>
      </c>
      <c r="J29" s="21" t="s">
        <v>605</v>
      </c>
    </row>
    <row r="30" ht="24" customHeight="1" spans="1:10" x14ac:dyDescent="0.25">
      <c r="A30" s="17" t="s">
        <v>416</v>
      </c>
      <c r="B30" s="12" t="s">
        <v>417</v>
      </c>
      <c r="C30" s="17" t="s">
        <v>405</v>
      </c>
      <c r="D30" s="17">
        <v>4</v>
      </c>
      <c r="E30" s="17">
        <v>8</v>
      </c>
      <c r="F30" s="17">
        <v>35</v>
      </c>
      <c r="G30" s="17">
        <v>8</v>
      </c>
      <c r="H30" s="17">
        <v>55</v>
      </c>
      <c r="I30" s="17">
        <v>53</v>
      </c>
      <c r="J30" s="17" t="s">
        <v>605</v>
      </c>
    </row>
    <row r="31" ht="24" customHeight="1" spans="1:10" x14ac:dyDescent="0.25">
      <c r="A31" s="21" t="s">
        <v>427</v>
      </c>
      <c r="B31" s="13" t="s">
        <v>429</v>
      </c>
      <c r="C31" s="21" t="s">
        <v>428</v>
      </c>
      <c r="D31" s="21">
        <v>4</v>
      </c>
      <c r="E31" s="21">
        <v>8</v>
      </c>
      <c r="F31" s="21">
        <v>35</v>
      </c>
      <c r="G31" s="21">
        <v>8</v>
      </c>
      <c r="H31" s="21">
        <v>55</v>
      </c>
      <c r="I31" s="21">
        <v>53</v>
      </c>
      <c r="J31" s="21" t="s">
        <v>605</v>
      </c>
    </row>
    <row r="32" ht="24" customHeight="1" spans="1:10" x14ac:dyDescent="0.25">
      <c r="A32" s="17" t="s">
        <v>438</v>
      </c>
      <c r="B32" s="12" t="s">
        <v>440</v>
      </c>
      <c r="C32" s="17" t="s">
        <v>439</v>
      </c>
      <c r="D32" s="17">
        <v>3</v>
      </c>
      <c r="E32" s="17">
        <v>8</v>
      </c>
      <c r="F32" s="17">
        <v>35</v>
      </c>
      <c r="G32" s="17">
        <v>8</v>
      </c>
      <c r="H32" s="17">
        <v>54</v>
      </c>
      <c r="I32" s="17">
        <v>53</v>
      </c>
      <c r="J32" s="17" t="s">
        <v>605</v>
      </c>
    </row>
    <row r="33" ht="24" customHeight="1" spans="1:10" x14ac:dyDescent="0.25">
      <c r="A33" s="21" t="s">
        <v>449</v>
      </c>
      <c r="B33" s="13" t="s">
        <v>450</v>
      </c>
      <c r="C33" s="21" t="s">
        <v>439</v>
      </c>
      <c r="D33" s="21">
        <v>2</v>
      </c>
      <c r="E33" s="21">
        <v>8</v>
      </c>
      <c r="F33" s="21">
        <v>35</v>
      </c>
      <c r="G33" s="21">
        <v>8</v>
      </c>
      <c r="H33" s="21">
        <v>53</v>
      </c>
      <c r="I33" s="21">
        <v>53</v>
      </c>
      <c r="J33" s="21" t="s">
        <v>605</v>
      </c>
    </row>
    <row r="34" ht="24" customHeight="1" spans="1:10" x14ac:dyDescent="0.25">
      <c r="A34" s="17" t="s">
        <v>458</v>
      </c>
      <c r="B34" s="12" t="s">
        <v>460</v>
      </c>
      <c r="C34" s="17" t="s">
        <v>459</v>
      </c>
      <c r="D34" s="17">
        <v>3</v>
      </c>
      <c r="E34" s="17">
        <v>7</v>
      </c>
      <c r="F34" s="17">
        <v>31</v>
      </c>
      <c r="G34" s="17">
        <v>7</v>
      </c>
      <c r="H34" s="17">
        <v>48</v>
      </c>
      <c r="I34" s="17">
        <v>49</v>
      </c>
      <c r="J34" s="17" t="s">
        <v>605</v>
      </c>
    </row>
    <row r="35" ht="24" customHeight="1" spans="1:10" x14ac:dyDescent="0.25">
      <c r="A35" s="21" t="s">
        <v>469</v>
      </c>
      <c r="B35" s="13" t="s">
        <v>472</v>
      </c>
      <c r="C35" s="21" t="s">
        <v>470</v>
      </c>
      <c r="D35" s="21">
        <v>6</v>
      </c>
      <c r="E35" s="21">
        <v>14</v>
      </c>
      <c r="F35" s="21">
        <v>63</v>
      </c>
      <c r="G35" s="21">
        <v>14</v>
      </c>
      <c r="H35" s="21">
        <v>97</v>
      </c>
      <c r="I35" s="21">
        <v>90</v>
      </c>
      <c r="J35" s="21" t="s">
        <v>605</v>
      </c>
    </row>
    <row r="36" ht="24" customHeight="1" spans="1:10" x14ac:dyDescent="0.25">
      <c r="A36" s="17" t="s">
        <v>484</v>
      </c>
      <c r="B36" s="12" t="s">
        <v>486</v>
      </c>
      <c r="C36" s="17" t="s">
        <v>470</v>
      </c>
      <c r="D36" s="17">
        <v>6</v>
      </c>
      <c r="E36" s="17">
        <v>14</v>
      </c>
      <c r="F36" s="17">
        <v>63</v>
      </c>
      <c r="G36" s="17">
        <v>14</v>
      </c>
      <c r="H36" s="17">
        <v>97</v>
      </c>
      <c r="I36" s="17">
        <v>90</v>
      </c>
      <c r="J36" s="17" t="s">
        <v>605</v>
      </c>
    </row>
    <row r="37" ht="24" customHeight="1" spans="1:10" x14ac:dyDescent="0.25">
      <c r="A37" s="21" t="s">
        <v>493</v>
      </c>
      <c r="B37" s="13" t="s">
        <v>495</v>
      </c>
      <c r="C37" s="21" t="s">
        <v>470</v>
      </c>
      <c r="D37" s="21">
        <v>5</v>
      </c>
      <c r="E37" s="21">
        <v>11</v>
      </c>
      <c r="F37" s="21">
        <v>53</v>
      </c>
      <c r="G37" s="21">
        <v>11</v>
      </c>
      <c r="H37" s="21">
        <v>80</v>
      </c>
      <c r="I37" s="21">
        <v>79</v>
      </c>
      <c r="J37" s="21" t="s">
        <v>605</v>
      </c>
    </row>
    <row r="38" ht="24" customHeight="1" spans="1:10" x14ac:dyDescent="0.25">
      <c r="A38" s="17" t="s">
        <v>506</v>
      </c>
      <c r="B38" s="12" t="s">
        <v>509</v>
      </c>
      <c r="C38" s="17" t="s">
        <v>507</v>
      </c>
      <c r="D38" s="17">
        <v>8</v>
      </c>
      <c r="E38" s="17">
        <v>27</v>
      </c>
      <c r="F38" s="17">
        <v>126</v>
      </c>
      <c r="G38" s="17">
        <v>27</v>
      </c>
      <c r="H38" s="17">
        <v>188</v>
      </c>
      <c r="I38" s="17">
        <v>158</v>
      </c>
      <c r="J38" s="17" t="s">
        <v>605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 &amp; Topology</vt:lpstr>
      <vt:lpstr>Live Cloud VM Labs Master</vt:lpstr>
      <vt:lpstr>Golden AMIs &amp; VM Fleet</vt:lpstr>
      <vt:lpstr>Time Allocations &amp;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 Bengaluru — SOC Analyst L1 Curriculum Team</dc:creator>
  <dc:title/>
  <dc:subject/>
  <dc:description/>
  <cp:keywords/>
  <cp:category/>
  <cp:lastModifiedBy>Antigravity AI Engineering</cp:lastModifiedBy>
  <dcterms:created xsi:type="dcterms:W3CDTF">2026-10-22T12:17:16Z</dcterms:created>
  <dcterms:modified xsi:type="dcterms:W3CDTF">2026-10-22T12:17:16Z</dcterms:modified>
</cp:coreProperties>
</file>